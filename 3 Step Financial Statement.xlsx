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MLS\Documents\"/>
    </mc:Choice>
  </mc:AlternateContent>
  <xr:revisionPtr revIDLastSave="0" documentId="13_ncr:1_{6A7C23B8-85AF-40E5-82D0-3765990E05BE}" xr6:coauthVersionLast="47" xr6:coauthVersionMax="47" xr10:uidLastSave="{00000000-0000-0000-0000-000000000000}"/>
  <bookViews>
    <workbookView xWindow="8700" yWindow="2640" windowWidth="24150" windowHeight="12330" xr2:uid="{BC2588A3-5F38-428E-9406-9AA16C954251}"/>
  </bookViews>
  <sheets>
    <sheet name="3 Step Financial Statement" sheetId="1" r:id="rId1"/>
    <sheet name="Proft and Loss Ratios" sheetId="3" r:id="rId2"/>
    <sheet name="Financial Position Ratios" sheetId="4" r:id="rId3"/>
    <sheet name="Statement of Profit and Loss" sheetId="5" r:id="rId4"/>
    <sheet name="Statement of Financial Position" sheetId="6" r:id="rId5"/>
    <sheet name="Statement of Cash Flow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E8" i="1"/>
  <c r="F8" i="1"/>
  <c r="G8" i="1"/>
  <c r="C9" i="1"/>
  <c r="D9" i="1"/>
  <c r="E9" i="1"/>
  <c r="F9" i="1"/>
  <c r="G9" i="1"/>
  <c r="C10" i="1"/>
  <c r="D10" i="1"/>
  <c r="E10" i="1"/>
  <c r="F10" i="1"/>
  <c r="G10" i="1"/>
  <c r="C11" i="1"/>
  <c r="D11" i="1"/>
  <c r="E11" i="1"/>
  <c r="F11" i="1"/>
  <c r="G11" i="1"/>
  <c r="C12" i="1"/>
  <c r="D12" i="1"/>
  <c r="E12" i="1"/>
  <c r="F12" i="1"/>
  <c r="G12" i="1"/>
  <c r="H76" i="1"/>
  <c r="C94" i="1"/>
  <c r="E93" i="1"/>
  <c r="F93" i="1"/>
  <c r="G93" i="1"/>
  <c r="D93" i="1"/>
  <c r="E95" i="1"/>
  <c r="F95" i="1"/>
  <c r="G95" i="1"/>
  <c r="D95" i="1"/>
  <c r="E94" i="1"/>
  <c r="F94" i="1"/>
  <c r="G94" i="1"/>
  <c r="D94" i="1"/>
  <c r="C95" i="1"/>
  <c r="C93" i="1"/>
  <c r="D4" i="1"/>
  <c r="E4" i="1"/>
  <c r="F4" i="1"/>
  <c r="G4" i="1"/>
  <c r="C4" i="1"/>
  <c r="H50" i="1"/>
  <c r="H51" i="1" s="1"/>
  <c r="C90" i="1"/>
  <c r="D90" i="1"/>
  <c r="E90" i="1"/>
  <c r="F90" i="1"/>
  <c r="G90" i="1"/>
  <c r="H87" i="1" s="1"/>
  <c r="D82" i="1"/>
  <c r="E82" i="1"/>
  <c r="F82" i="1"/>
  <c r="G82" i="1"/>
  <c r="D83" i="1"/>
  <c r="E83" i="1"/>
  <c r="F83" i="1"/>
  <c r="G83" i="1"/>
  <c r="D84" i="1"/>
  <c r="E84" i="1"/>
  <c r="F84" i="1"/>
  <c r="G84" i="1"/>
  <c r="H81" i="1" s="1"/>
  <c r="C82" i="1"/>
  <c r="C83" i="1"/>
  <c r="C84" i="1"/>
  <c r="I50" i="1"/>
  <c r="I51" i="1" s="1"/>
  <c r="J50" i="1"/>
  <c r="J51" i="1" s="1"/>
  <c r="K50" i="1"/>
  <c r="K51" i="1" s="1"/>
  <c r="L50" i="1"/>
  <c r="L51" i="1" s="1"/>
  <c r="M50" i="1"/>
  <c r="M51" i="1" s="1"/>
  <c r="N50" i="1"/>
  <c r="N51" i="1" s="1"/>
  <c r="O50" i="1"/>
  <c r="O51" i="1" s="1"/>
  <c r="I46" i="1"/>
  <c r="K46" i="1" s="1"/>
  <c r="M46" i="1" s="1"/>
  <c r="O46" i="1" s="1"/>
  <c r="H46" i="1"/>
  <c r="J46" i="1" s="1"/>
  <c r="L46" i="1" s="1"/>
  <c r="N46" i="1" s="1"/>
  <c r="D30" i="1"/>
  <c r="D32" i="1" s="1"/>
  <c r="D88" i="1" s="1"/>
  <c r="E30" i="1"/>
  <c r="E32" i="1" s="1"/>
  <c r="E88" i="1" s="1"/>
  <c r="F30" i="1"/>
  <c r="F32" i="1" s="1"/>
  <c r="F88" i="1" s="1"/>
  <c r="G30" i="1"/>
  <c r="G32" i="1" s="1"/>
  <c r="G88" i="1" s="1"/>
  <c r="C30" i="1"/>
  <c r="C32" i="1" s="1"/>
  <c r="C88" i="1" s="1"/>
  <c r="O29" i="1"/>
  <c r="N29" i="1"/>
  <c r="M29" i="1"/>
  <c r="L29" i="1"/>
  <c r="K29" i="1"/>
  <c r="J29" i="1"/>
  <c r="I29" i="1"/>
  <c r="H29" i="1"/>
  <c r="H23" i="1"/>
  <c r="I23" i="1" s="1"/>
  <c r="I40" i="1" s="1"/>
  <c r="D20" i="1"/>
  <c r="E20" i="1"/>
  <c r="F20" i="1"/>
  <c r="G20" i="1"/>
  <c r="C20" i="1"/>
  <c r="D19" i="1"/>
  <c r="E19" i="1"/>
  <c r="F19" i="1"/>
  <c r="G19" i="1"/>
  <c r="C19" i="1"/>
  <c r="D18" i="1"/>
  <c r="E18" i="1"/>
  <c r="F18" i="1"/>
  <c r="G18" i="1"/>
  <c r="C18" i="1"/>
  <c r="D17" i="1"/>
  <c r="E17" i="1"/>
  <c r="F17" i="1"/>
  <c r="G17" i="1"/>
  <c r="C17" i="1"/>
  <c r="D16" i="1"/>
  <c r="E16" i="1"/>
  <c r="F16" i="1"/>
  <c r="G16" i="1"/>
  <c r="C16" i="1"/>
  <c r="D2" i="1"/>
  <c r="E2" i="1" s="1"/>
  <c r="F2" i="1" s="1"/>
  <c r="G2" i="1" s="1"/>
  <c r="H2" i="1" s="1"/>
  <c r="G13" i="1" l="1"/>
  <c r="F13" i="1"/>
  <c r="E13" i="1"/>
  <c r="D13" i="1"/>
  <c r="C13" i="1"/>
  <c r="E87" i="1"/>
  <c r="G96" i="1"/>
  <c r="H84" i="1"/>
  <c r="D87" i="1"/>
  <c r="E96" i="1"/>
  <c r="F96" i="1"/>
  <c r="D96" i="1"/>
  <c r="C96" i="1"/>
  <c r="C81" i="1"/>
  <c r="C87" i="1"/>
  <c r="G87" i="1"/>
  <c r="F87" i="1"/>
  <c r="G81" i="1"/>
  <c r="F81" i="1"/>
  <c r="E81" i="1"/>
  <c r="D81" i="1"/>
  <c r="I84" i="1"/>
  <c r="H40" i="1"/>
  <c r="H27" i="1"/>
  <c r="H28" i="1"/>
  <c r="H24" i="1"/>
  <c r="H53" i="1" s="1"/>
  <c r="J23" i="1"/>
  <c r="I28" i="1"/>
  <c r="I24" i="1"/>
  <c r="I53" i="1" s="1"/>
  <c r="I27" i="1"/>
  <c r="I2" i="1"/>
  <c r="J2" i="1" s="1"/>
  <c r="K2" i="1" s="1"/>
  <c r="L2" i="1" s="1"/>
  <c r="M2" i="1" s="1"/>
  <c r="N2" i="1" s="1"/>
  <c r="O2" i="1" s="1"/>
  <c r="I81" i="1" l="1"/>
  <c r="H37" i="1"/>
  <c r="J81" i="1"/>
  <c r="I37" i="1"/>
  <c r="I94" i="1"/>
  <c r="I54" i="1"/>
  <c r="I55" i="1" s="1"/>
  <c r="I83" i="1"/>
  <c r="I62" i="1"/>
  <c r="J40" i="1"/>
  <c r="J93" i="1" s="1"/>
  <c r="J84" i="1"/>
  <c r="H54" i="1"/>
  <c r="H55" i="1" s="1"/>
  <c r="H94" i="1"/>
  <c r="H83" i="1"/>
  <c r="H82" i="1" s="1"/>
  <c r="H67" i="1" s="1"/>
  <c r="H68" i="1" s="1"/>
  <c r="H62" i="1"/>
  <c r="I93" i="1"/>
  <c r="H93" i="1"/>
  <c r="I25" i="1"/>
  <c r="I30" i="1" s="1"/>
  <c r="I31" i="1" s="1"/>
  <c r="I32" i="1" s="1"/>
  <c r="I41" i="1"/>
  <c r="H25" i="1"/>
  <c r="H30" i="1" s="1"/>
  <c r="H31" i="1" s="1"/>
  <c r="H32" i="1" s="1"/>
  <c r="H41" i="1"/>
  <c r="H95" i="1" s="1"/>
  <c r="K23" i="1"/>
  <c r="J28" i="1"/>
  <c r="J27" i="1"/>
  <c r="J24" i="1"/>
  <c r="J53" i="1" s="1"/>
  <c r="I82" i="1" l="1"/>
  <c r="I67" i="1" s="1"/>
  <c r="I68" i="1" s="1"/>
  <c r="J25" i="1"/>
  <c r="J30" i="1" s="1"/>
  <c r="J31" i="1" s="1"/>
  <c r="J32" i="1" s="1"/>
  <c r="H96" i="1"/>
  <c r="H63" i="1" s="1"/>
  <c r="H60" i="1"/>
  <c r="H88" i="1"/>
  <c r="H90" i="1" s="1"/>
  <c r="I60" i="1"/>
  <c r="I88" i="1"/>
  <c r="K81" i="1"/>
  <c r="J37" i="1"/>
  <c r="J94" i="1"/>
  <c r="J54" i="1"/>
  <c r="J55" i="1" s="1"/>
  <c r="J83" i="1"/>
  <c r="J82" i="1" s="1"/>
  <c r="J67" i="1" s="1"/>
  <c r="J68" i="1" s="1"/>
  <c r="J62" i="1"/>
  <c r="K40" i="1"/>
  <c r="K93" i="1" s="1"/>
  <c r="K84" i="1"/>
  <c r="I95" i="1"/>
  <c r="I96" i="1" s="1"/>
  <c r="I63" i="1" s="1"/>
  <c r="J41" i="1"/>
  <c r="J95" i="1" s="1"/>
  <c r="L23" i="1"/>
  <c r="K28" i="1"/>
  <c r="K27" i="1"/>
  <c r="K24" i="1"/>
  <c r="K53" i="1" s="1"/>
  <c r="K25" i="1" l="1"/>
  <c r="K30" i="1" s="1"/>
  <c r="K31" i="1" s="1"/>
  <c r="K32" i="1" s="1"/>
  <c r="H64" i="1"/>
  <c r="H75" i="1" s="1"/>
  <c r="H77" i="1" s="1"/>
  <c r="I76" i="1" s="1"/>
  <c r="J96" i="1"/>
  <c r="J63" i="1" s="1"/>
  <c r="L81" i="1"/>
  <c r="K37" i="1"/>
  <c r="H47" i="1"/>
  <c r="H48" i="1" s="1"/>
  <c r="H56" i="1" s="1"/>
  <c r="I87" i="1"/>
  <c r="I90" i="1" s="1"/>
  <c r="K94" i="1"/>
  <c r="K54" i="1"/>
  <c r="K55" i="1" s="1"/>
  <c r="K83" i="1"/>
  <c r="K82" i="1" s="1"/>
  <c r="K67" i="1" s="1"/>
  <c r="K68" i="1" s="1"/>
  <c r="K62" i="1"/>
  <c r="L40" i="1"/>
  <c r="L93" i="1" s="1"/>
  <c r="L84" i="1"/>
  <c r="J88" i="1"/>
  <c r="J60" i="1"/>
  <c r="I64" i="1"/>
  <c r="I75" i="1" s="1"/>
  <c r="K41" i="1"/>
  <c r="K95" i="1" s="1"/>
  <c r="M23" i="1"/>
  <c r="L28" i="1"/>
  <c r="L27" i="1"/>
  <c r="L24" i="1"/>
  <c r="L53" i="1" s="1"/>
  <c r="I77" i="1" l="1"/>
  <c r="J76" i="1" s="1"/>
  <c r="H39" i="1"/>
  <c r="H42" i="1" s="1"/>
  <c r="H43" i="1" s="1"/>
  <c r="H4" i="1" s="1"/>
  <c r="K96" i="1"/>
  <c r="K63" i="1" s="1"/>
  <c r="J64" i="1"/>
  <c r="J75" i="1" s="1"/>
  <c r="L94" i="1"/>
  <c r="L54" i="1"/>
  <c r="L55" i="1" s="1"/>
  <c r="L83" i="1"/>
  <c r="L82" i="1" s="1"/>
  <c r="L67" i="1" s="1"/>
  <c r="L68" i="1" s="1"/>
  <c r="L62" i="1"/>
  <c r="M40" i="1"/>
  <c r="M93" i="1" s="1"/>
  <c r="M84" i="1"/>
  <c r="K88" i="1"/>
  <c r="K60" i="1"/>
  <c r="I47" i="1"/>
  <c r="I48" i="1" s="1"/>
  <c r="I56" i="1" s="1"/>
  <c r="J87" i="1"/>
  <c r="J90" i="1" s="1"/>
  <c r="L37" i="1"/>
  <c r="M81" i="1"/>
  <c r="L25" i="1"/>
  <c r="L30" i="1" s="1"/>
  <c r="L41" i="1"/>
  <c r="L95" i="1" s="1"/>
  <c r="N23" i="1"/>
  <c r="M28" i="1"/>
  <c r="M27" i="1"/>
  <c r="M24" i="1"/>
  <c r="M53" i="1" s="1"/>
  <c r="K64" i="1" l="1"/>
  <c r="K75" i="1" s="1"/>
  <c r="I39" i="1"/>
  <c r="I42" i="1" s="1"/>
  <c r="I43" i="1" s="1"/>
  <c r="I4" i="1" s="1"/>
  <c r="J77" i="1"/>
  <c r="J39" i="1" s="1"/>
  <c r="J42" i="1" s="1"/>
  <c r="J43" i="1" s="1"/>
  <c r="L96" i="1"/>
  <c r="L63" i="1" s="1"/>
  <c r="K87" i="1"/>
  <c r="K90" i="1" s="1"/>
  <c r="J47" i="1"/>
  <c r="J48" i="1" s="1"/>
  <c r="J56" i="1" s="1"/>
  <c r="N40" i="1"/>
  <c r="N93" i="1" s="1"/>
  <c r="N84" i="1"/>
  <c r="M54" i="1"/>
  <c r="M55" i="1" s="1"/>
  <c r="M94" i="1"/>
  <c r="M83" i="1"/>
  <c r="M82" i="1" s="1"/>
  <c r="M67" i="1" s="1"/>
  <c r="M68" i="1" s="1"/>
  <c r="M62" i="1"/>
  <c r="M37" i="1"/>
  <c r="N81" i="1"/>
  <c r="M25" i="1"/>
  <c r="M30" i="1" s="1"/>
  <c r="M31" i="1" s="1"/>
  <c r="M32" i="1" s="1"/>
  <c r="M41" i="1"/>
  <c r="M95" i="1" s="1"/>
  <c r="O23" i="1"/>
  <c r="N28" i="1"/>
  <c r="N27" i="1"/>
  <c r="N24" i="1"/>
  <c r="N53" i="1" s="1"/>
  <c r="L31" i="1"/>
  <c r="L32" i="1" s="1"/>
  <c r="K76" i="1" l="1"/>
  <c r="K77" i="1" s="1"/>
  <c r="L76" i="1" s="1"/>
  <c r="J4" i="1"/>
  <c r="M96" i="1"/>
  <c r="M63" i="1" s="1"/>
  <c r="N54" i="1"/>
  <c r="N55" i="1" s="1"/>
  <c r="N94" i="1"/>
  <c r="N62" i="1"/>
  <c r="N83" i="1"/>
  <c r="N37" i="1"/>
  <c r="N82" i="1"/>
  <c r="N67" i="1" s="1"/>
  <c r="N68" i="1" s="1"/>
  <c r="O81" i="1"/>
  <c r="M88" i="1"/>
  <c r="M60" i="1"/>
  <c r="L88" i="1"/>
  <c r="L60" i="1"/>
  <c r="L64" i="1" s="1"/>
  <c r="L75" i="1" s="1"/>
  <c r="O40" i="1"/>
  <c r="O93" i="1" s="1"/>
  <c r="O84" i="1"/>
  <c r="L87" i="1"/>
  <c r="K47" i="1"/>
  <c r="K48" i="1" s="1"/>
  <c r="K56" i="1" s="1"/>
  <c r="N25" i="1"/>
  <c r="N30" i="1" s="1"/>
  <c r="N31" i="1" s="1"/>
  <c r="N32" i="1" s="1"/>
  <c r="N41" i="1"/>
  <c r="N95" i="1" s="1"/>
  <c r="O27" i="1"/>
  <c r="O24" i="1"/>
  <c r="O53" i="1" s="1"/>
  <c r="O28" i="1"/>
  <c r="K39" i="1" l="1"/>
  <c r="K42" i="1" s="1"/>
  <c r="K43" i="1" s="1"/>
  <c r="K4" i="1" s="1"/>
  <c r="N96" i="1"/>
  <c r="N63" i="1" s="1"/>
  <c r="M64" i="1"/>
  <c r="M75" i="1" s="1"/>
  <c r="O54" i="1"/>
  <c r="O55" i="1" s="1"/>
  <c r="O94" i="1"/>
  <c r="O83" i="1"/>
  <c r="O82" i="1" s="1"/>
  <c r="O67" i="1" s="1"/>
  <c r="O68" i="1" s="1"/>
  <c r="O62" i="1"/>
  <c r="L90" i="1"/>
  <c r="O37" i="1"/>
  <c r="N60" i="1"/>
  <c r="N88" i="1"/>
  <c r="L77" i="1"/>
  <c r="O25" i="1"/>
  <c r="O30" i="1" s="1"/>
  <c r="O31" i="1" s="1"/>
  <c r="O32" i="1" s="1"/>
  <c r="O41" i="1"/>
  <c r="O95" i="1" s="1"/>
  <c r="N64" i="1" l="1"/>
  <c r="N75" i="1" s="1"/>
  <c r="O96" i="1"/>
  <c r="O63" i="1" s="1"/>
  <c r="M87" i="1"/>
  <c r="M90" i="1" s="1"/>
  <c r="L47" i="1"/>
  <c r="L48" i="1" s="1"/>
  <c r="L56" i="1" s="1"/>
  <c r="M76" i="1"/>
  <c r="M77" i="1" s="1"/>
  <c r="L39" i="1"/>
  <c r="L42" i="1" s="1"/>
  <c r="L43" i="1" s="1"/>
  <c r="O88" i="1"/>
  <c r="O60" i="1"/>
  <c r="O64" i="1" l="1"/>
  <c r="O75" i="1" s="1"/>
  <c r="L4" i="1"/>
  <c r="N76" i="1"/>
  <c r="N77" i="1" s="1"/>
  <c r="M39" i="1"/>
  <c r="M42" i="1" s="1"/>
  <c r="M43" i="1" s="1"/>
  <c r="M47" i="1"/>
  <c r="M48" i="1" s="1"/>
  <c r="M56" i="1" s="1"/>
  <c r="N87" i="1"/>
  <c r="N90" i="1" s="1"/>
  <c r="O87" i="1" l="1"/>
  <c r="O90" i="1" s="1"/>
  <c r="O47" i="1" s="1"/>
  <c r="O48" i="1" s="1"/>
  <c r="O56" i="1" s="1"/>
  <c r="N47" i="1"/>
  <c r="N48" i="1" s="1"/>
  <c r="N56" i="1" s="1"/>
  <c r="M4" i="1"/>
  <c r="O76" i="1"/>
  <c r="O77" i="1" s="1"/>
  <c r="O39" i="1" s="1"/>
  <c r="O42" i="1" s="1"/>
  <c r="O43" i="1" s="1"/>
  <c r="N39" i="1"/>
  <c r="N42" i="1" s="1"/>
  <c r="N43" i="1" s="1"/>
  <c r="N4" i="1" l="1"/>
  <c r="O4" i="1"/>
</calcChain>
</file>

<file path=xl/sharedStrings.xml><?xml version="1.0" encoding="utf-8"?>
<sst xmlns="http://schemas.openxmlformats.org/spreadsheetml/2006/main" count="166" uniqueCount="85">
  <si>
    <t>All figures in PKR</t>
  </si>
  <si>
    <t>Number of Days</t>
  </si>
  <si>
    <t>Check</t>
  </si>
  <si>
    <t>Statement of Profit or Loss</t>
  </si>
  <si>
    <t>Statement of Financial Position</t>
  </si>
  <si>
    <t>Statement of Cash Flows</t>
  </si>
  <si>
    <t>Sales Revenue</t>
  </si>
  <si>
    <t>Cost of Sales</t>
  </si>
  <si>
    <t>Gross Profit</t>
  </si>
  <si>
    <t>SG&amp;A Expense</t>
  </si>
  <si>
    <t>Depreciation Expense</t>
  </si>
  <si>
    <t>Interest Expense</t>
  </si>
  <si>
    <t>Income Before Income Taxes</t>
  </si>
  <si>
    <t>Income Taxes</t>
  </si>
  <si>
    <t>Profit after tax</t>
  </si>
  <si>
    <t>Assets</t>
  </si>
  <si>
    <t>Non-current Assets</t>
  </si>
  <si>
    <t>Property, Plant &amp; Equipment</t>
  </si>
  <si>
    <t>Current Assets</t>
  </si>
  <si>
    <t>Cash &amp; Cash Equivalents</t>
  </si>
  <si>
    <t>Accounts Receivable</t>
  </si>
  <si>
    <t>Inventories</t>
  </si>
  <si>
    <t>Total Current Assets</t>
  </si>
  <si>
    <t>Total Assets</t>
  </si>
  <si>
    <t>Shareholders' Equity</t>
  </si>
  <si>
    <t>Share Capital</t>
  </si>
  <si>
    <t>Retained Earnings</t>
  </si>
  <si>
    <t>Total Shareholders' Equity</t>
  </si>
  <si>
    <t>Non-current Liabilities</t>
  </si>
  <si>
    <t>Long-Term Debt</t>
  </si>
  <si>
    <t>Total</t>
  </si>
  <si>
    <t>Current Liabilities</t>
  </si>
  <si>
    <t>Accounts Payable</t>
  </si>
  <si>
    <t>Total Current Liabilities</t>
  </si>
  <si>
    <t>Total Liabilities</t>
  </si>
  <si>
    <t>Total Liabilities and Shareholders' Equity</t>
  </si>
  <si>
    <t>Operating Activities</t>
  </si>
  <si>
    <t>Adjustments For:</t>
  </si>
  <si>
    <t>Changes in Non-Cash Working Capital</t>
  </si>
  <si>
    <t>Cash Generated From Operating Activities</t>
  </si>
  <si>
    <t>Investing Activities</t>
  </si>
  <si>
    <t>Additions to PPE</t>
  </si>
  <si>
    <t>Cash (Used For) Investing Activities</t>
  </si>
  <si>
    <t>Financing Activities</t>
  </si>
  <si>
    <t>Repayment of Debt</t>
  </si>
  <si>
    <t>Issuance of Equity</t>
  </si>
  <si>
    <t>Cash (Used For) Generated From Financing Activities</t>
  </si>
  <si>
    <t>Cash (Used) Generated in the Period</t>
  </si>
  <si>
    <t>Cash &amp; Cash Equivalents at Start</t>
  </si>
  <si>
    <t>Cash &amp; Cash Equivalents at End</t>
  </si>
  <si>
    <t>Assumptions and Key Drivers</t>
  </si>
  <si>
    <t>Sales Growth rate</t>
  </si>
  <si>
    <t>Gross Profit Margin</t>
  </si>
  <si>
    <t>SC&amp;A as a %age of Sales</t>
  </si>
  <si>
    <t>Depriciation Expense as a %age of Sales</t>
  </si>
  <si>
    <t>Interst Expense as a %age of LTL</t>
  </si>
  <si>
    <t>Tax as a %age of PBT</t>
  </si>
  <si>
    <t>Statement of Financial Positions</t>
  </si>
  <si>
    <t>Capital Turnover Ratio</t>
  </si>
  <si>
    <t>Payable Days (COS Base)</t>
  </si>
  <si>
    <t>Inventory Days (COS Base)</t>
  </si>
  <si>
    <t>Receivable Days(Revenue Base)</t>
  </si>
  <si>
    <t>Long Term Liabilities (LTL)</t>
  </si>
  <si>
    <t>Supporting Caluclations</t>
  </si>
  <si>
    <t>1.Fixed Assets Schedule</t>
  </si>
  <si>
    <t>Balance b/d</t>
  </si>
  <si>
    <t>Additons/Disposal</t>
  </si>
  <si>
    <t>Depriciation</t>
  </si>
  <si>
    <t>Balance at End</t>
  </si>
  <si>
    <t>2.Retained Earnings</t>
  </si>
  <si>
    <t>Profit for the Year</t>
  </si>
  <si>
    <t>Dividends</t>
  </si>
  <si>
    <t>Closing Balance</t>
  </si>
  <si>
    <t>Opening Balance</t>
  </si>
  <si>
    <t>3. Changes in working capital</t>
  </si>
  <si>
    <t>Inventory</t>
  </si>
  <si>
    <t>Balance</t>
  </si>
  <si>
    <t xml:space="preserve">                                                                             3 Statement Model for YumStop</t>
  </si>
  <si>
    <t>Year</t>
  </si>
  <si>
    <t>Column1</t>
  </si>
  <si>
    <t>year</t>
  </si>
  <si>
    <t xml:space="preserve">               -   </t>
  </si>
  <si>
    <t xml:space="preserve">            -   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</si>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</sst>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\A"/>
    <numFmt numFmtId="165" formatCode="0\F"/>
    <numFmt numFmtId="166" formatCode="#,##0_ ;\-#,##0\ "/>
    <numFmt numFmtId="167" formatCode="_-* #,##0_-;\-* #,##0_-;_-* &quot;-&quot;??_-;_-@_-"/>
    <numFmt numFmtId="168" formatCode="0.0%"/>
    <numFmt numFmtId="169" formatCode="&quot;£&quot;#,##0.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FF"/>
      <name val="Quattrocento Sans"/>
    </font>
    <font>
      <sz val="11"/>
      <color theme="1"/>
      <name val="Quattrocento Sans"/>
    </font>
    <font>
      <b/>
      <sz val="11"/>
      <color theme="1"/>
      <name val="Quattrocento Sans"/>
    </font>
    <font>
      <b/>
      <u/>
      <sz val="12"/>
      <color theme="1"/>
      <name val="Quattrocento Sans"/>
    </font>
    <font>
      <b/>
      <u/>
      <sz val="11"/>
      <color theme="1"/>
      <name val="Quattrocento Sans"/>
    </font>
    <font>
      <b/>
      <sz val="12"/>
      <color theme="0"/>
      <name val="Calibri"/>
      <family val="2"/>
      <scheme val="minor"/>
    </font>
    <font>
      <b/>
      <i/>
      <sz val="12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Quattrocento Sans"/>
      <family val="2"/>
    </font>
    <font>
      <b/>
      <sz val="11"/>
      <color theme="1"/>
      <name val="Quattrocento Sans"/>
      <family val="2"/>
    </font>
    <font>
      <b/>
      <sz val="11"/>
      <color rgb="FF0000FF"/>
      <name val="Quattrocento Sans"/>
      <family val="2"/>
    </font>
    <font>
      <b/>
      <sz val="11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Quattrocento Sans"/>
      <family val="2"/>
    </font>
    <font>
      <b/>
      <sz val="11"/>
      <color rgb="FF000000"/>
      <name val="Calibri"/>
      <family val="2"/>
      <scheme val="minor"/>
    </font>
    <font>
      <sz val="11"/>
      <color theme="1"/>
      <name val="Quattrocento Sans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</fills>
  <borders count="2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/>
      <top/>
      <bottom style="thin">
        <color auto="1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thick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indexed="64"/>
      </bottom>
      <diagonal/>
    </border>
    <border>
      <left style="medium">
        <color rgb="FFCCCCCC"/>
      </left>
      <right style="medium">
        <color rgb="FFCCCCCC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CCCCCC"/>
      </left>
      <right/>
      <top style="thin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3">
    <xf numFmtId="0" fontId="0" fillId="0" borderId="0" xfId="0"/>
    <xf numFmtId="0" fontId="0" fillId="3" borderId="0" xfId="0" applyFill="1"/>
    <xf numFmtId="164" fontId="3" fillId="3" borderId="0" xfId="0" applyNumberFormat="1" applyFont="1" applyFill="1"/>
    <xf numFmtId="165" fontId="3" fillId="3" borderId="0" xfId="0" applyNumberFormat="1" applyFont="1" applyFill="1"/>
    <xf numFmtId="0" fontId="4" fillId="0" borderId="0" xfId="0" applyFont="1"/>
    <xf numFmtId="9" fontId="4" fillId="0" borderId="0" xfId="2" applyFont="1"/>
    <xf numFmtId="0" fontId="6" fillId="3" borderId="0" xfId="0" applyFont="1" applyFill="1"/>
    <xf numFmtId="0" fontId="0" fillId="0" borderId="1" xfId="0" applyBorder="1" applyAlignment="1">
      <alignment wrapText="1"/>
    </xf>
    <xf numFmtId="0" fontId="7" fillId="0" borderId="1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5" fillId="0" borderId="0" xfId="0" applyFont="1"/>
    <xf numFmtId="166" fontId="8" fillId="0" borderId="1" xfId="1" applyNumberFormat="1" applyFont="1" applyBorder="1" applyAlignment="1">
      <alignment horizontal="right" wrapText="1"/>
    </xf>
    <xf numFmtId="166" fontId="0" fillId="0" borderId="0" xfId="1" applyNumberFormat="1" applyFont="1"/>
    <xf numFmtId="166" fontId="0" fillId="0" borderId="1" xfId="1" applyNumberFormat="1" applyFont="1" applyBorder="1" applyAlignment="1">
      <alignment wrapText="1"/>
    </xf>
    <xf numFmtId="9" fontId="4" fillId="3" borderId="0" xfId="2" applyFont="1" applyFill="1" applyAlignment="1"/>
    <xf numFmtId="0" fontId="11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12" fillId="0" borderId="1" xfId="0" applyFont="1" applyBorder="1" applyAlignment="1">
      <alignment wrapText="1"/>
    </xf>
    <xf numFmtId="167" fontId="0" fillId="0" borderId="0" xfId="1" applyNumberFormat="1" applyFont="1"/>
    <xf numFmtId="167" fontId="0" fillId="0" borderId="1" xfId="1" applyNumberFormat="1" applyFont="1" applyBorder="1" applyAlignment="1">
      <alignment wrapText="1"/>
    </xf>
    <xf numFmtId="167" fontId="8" fillId="0" borderId="1" xfId="1" applyNumberFormat="1" applyFont="1" applyBorder="1" applyAlignment="1">
      <alignment horizontal="right" wrapText="1"/>
    </xf>
    <xf numFmtId="167" fontId="8" fillId="0" borderId="2" xfId="1" applyNumberFormat="1" applyFont="1" applyBorder="1" applyAlignment="1">
      <alignment horizontal="right" wrapText="1"/>
    </xf>
    <xf numFmtId="167" fontId="10" fillId="0" borderId="1" xfId="1" applyNumberFormat="1" applyFont="1" applyBorder="1" applyAlignment="1">
      <alignment horizontal="right" wrapText="1"/>
    </xf>
    <xf numFmtId="9" fontId="6" fillId="3" borderId="0" xfId="2" applyFont="1" applyFill="1" applyAlignment="1"/>
    <xf numFmtId="167" fontId="0" fillId="0" borderId="1" xfId="1" applyNumberFormat="1" applyFont="1" applyBorder="1" applyAlignment="1">
      <alignment horizontal="right" wrapText="1"/>
    </xf>
    <xf numFmtId="0" fontId="13" fillId="3" borderId="0" xfId="0" applyFont="1" applyFill="1"/>
    <xf numFmtId="168" fontId="0" fillId="0" borderId="0" xfId="2" applyNumberFormat="1" applyFont="1"/>
    <xf numFmtId="168" fontId="15" fillId="0" borderId="0" xfId="2" applyNumberFormat="1" applyFont="1"/>
    <xf numFmtId="0" fontId="14" fillId="0" borderId="3" xfId="0" applyFont="1" applyBorder="1"/>
    <xf numFmtId="9" fontId="0" fillId="0" borderId="0" xfId="2" applyFont="1"/>
    <xf numFmtId="9" fontId="15" fillId="0" borderId="0" xfId="2" applyFont="1"/>
    <xf numFmtId="167" fontId="15" fillId="0" borderId="0" xfId="1" applyNumberFormat="1" applyFont="1"/>
    <xf numFmtId="166" fontId="10" fillId="0" borderId="5" xfId="1" applyNumberFormat="1" applyFont="1" applyBorder="1" applyAlignment="1">
      <alignment horizontal="right" wrapText="1"/>
    </xf>
    <xf numFmtId="166" fontId="0" fillId="0" borderId="4" xfId="1" applyNumberFormat="1" applyFont="1" applyBorder="1"/>
    <xf numFmtId="166" fontId="0" fillId="0" borderId="0" xfId="1" applyNumberFormat="1" applyFont="1" applyBorder="1"/>
    <xf numFmtId="166" fontId="0" fillId="0" borderId="8" xfId="1" applyNumberFormat="1" applyFont="1" applyBorder="1"/>
    <xf numFmtId="166" fontId="8" fillId="0" borderId="9" xfId="1" applyNumberFormat="1" applyFont="1" applyBorder="1" applyAlignment="1">
      <alignment horizontal="right" wrapText="1"/>
    </xf>
    <xf numFmtId="166" fontId="9" fillId="0" borderId="10" xfId="1" applyNumberFormat="1" applyFont="1" applyBorder="1" applyAlignment="1">
      <alignment horizontal="right" wrapText="1"/>
    </xf>
    <xf numFmtId="166" fontId="8" fillId="0" borderId="11" xfId="1" applyNumberFormat="1" applyFont="1" applyBorder="1" applyAlignment="1">
      <alignment horizontal="right" wrapText="1"/>
    </xf>
    <xf numFmtId="166" fontId="10" fillId="0" borderId="7" xfId="1" applyNumberFormat="1" applyFont="1" applyBorder="1" applyAlignment="1">
      <alignment horizontal="right" wrapText="1"/>
    </xf>
    <xf numFmtId="166" fontId="10" fillId="0" borderId="0" xfId="1" applyNumberFormat="1" applyFont="1" applyBorder="1" applyAlignment="1">
      <alignment horizontal="right" wrapText="1"/>
    </xf>
    <xf numFmtId="166" fontId="10" fillId="0" borderId="10" xfId="1" applyNumberFormat="1" applyFont="1" applyBorder="1" applyAlignment="1">
      <alignment horizontal="right" wrapText="1"/>
    </xf>
    <xf numFmtId="166" fontId="10" fillId="0" borderId="6" xfId="1" applyNumberFormat="1" applyFont="1" applyBorder="1" applyAlignment="1">
      <alignment horizontal="right" wrapText="1"/>
    </xf>
    <xf numFmtId="0" fontId="9" fillId="0" borderId="9" xfId="0" applyFont="1" applyBorder="1" applyAlignment="1">
      <alignment wrapText="1"/>
    </xf>
    <xf numFmtId="0" fontId="10" fillId="0" borderId="12" xfId="0" applyFont="1" applyBorder="1" applyAlignment="1">
      <alignment wrapText="1"/>
    </xf>
    <xf numFmtId="0" fontId="0" fillId="0" borderId="13" xfId="0" applyBorder="1"/>
    <xf numFmtId="166" fontId="10" fillId="0" borderId="12" xfId="1" applyNumberFormat="1" applyFont="1" applyBorder="1" applyAlignment="1">
      <alignment horizontal="right" wrapText="1"/>
    </xf>
    <xf numFmtId="0" fontId="16" fillId="0" borderId="0" xfId="0" applyFont="1"/>
    <xf numFmtId="167" fontId="0" fillId="0" borderId="0" xfId="0" applyNumberFormat="1"/>
    <xf numFmtId="166" fontId="0" fillId="0" borderId="0" xfId="0" applyNumberFormat="1"/>
    <xf numFmtId="167" fontId="16" fillId="0" borderId="0" xfId="0" applyNumberFormat="1" applyFont="1"/>
    <xf numFmtId="43" fontId="0" fillId="0" borderId="0" xfId="0" applyNumberFormat="1"/>
    <xf numFmtId="167" fontId="8" fillId="0" borderId="9" xfId="1" applyNumberFormat="1" applyFont="1" applyBorder="1" applyAlignment="1">
      <alignment horizontal="right" wrapText="1"/>
    </xf>
    <xf numFmtId="0" fontId="0" fillId="0" borderId="5" xfId="0" applyBorder="1" applyAlignment="1">
      <alignment wrapText="1"/>
    </xf>
    <xf numFmtId="0" fontId="18" fillId="0" borderId="12" xfId="0" applyFont="1" applyBorder="1" applyAlignment="1">
      <alignment wrapText="1"/>
    </xf>
    <xf numFmtId="0" fontId="16" fillId="0" borderId="13" xfId="0" applyFont="1" applyBorder="1"/>
    <xf numFmtId="167" fontId="19" fillId="0" borderId="12" xfId="1" applyNumberFormat="1" applyFont="1" applyBorder="1" applyAlignment="1">
      <alignment horizontal="right" wrapText="1"/>
    </xf>
    <xf numFmtId="167" fontId="16" fillId="0" borderId="13" xfId="1" applyNumberFormat="1" applyFont="1" applyBorder="1"/>
    <xf numFmtId="169" fontId="0" fillId="0" borderId="0" xfId="0" applyNumberFormat="1"/>
    <xf numFmtId="167" fontId="19" fillId="0" borderId="15" xfId="1" applyNumberFormat="1" applyFont="1" applyBorder="1" applyAlignment="1">
      <alignment horizontal="right" wrapText="1"/>
    </xf>
    <xf numFmtId="167" fontId="0" fillId="0" borderId="5" xfId="1" applyNumberFormat="1" applyFont="1" applyBorder="1" applyAlignment="1">
      <alignment wrapText="1"/>
    </xf>
    <xf numFmtId="169" fontId="0" fillId="0" borderId="0" xfId="1" applyNumberFormat="1" applyFont="1" applyBorder="1" applyAlignment="1">
      <alignment wrapText="1"/>
    </xf>
    <xf numFmtId="0" fontId="16" fillId="0" borderId="14" xfId="0" applyFont="1" applyBorder="1"/>
    <xf numFmtId="167" fontId="16" fillId="0" borderId="14" xfId="1" applyNumberFormat="1" applyFont="1" applyBorder="1"/>
    <xf numFmtId="167" fontId="10" fillId="0" borderId="9" xfId="1" applyNumberFormat="1" applyFont="1" applyBorder="1" applyAlignment="1">
      <alignment horizontal="right" wrapText="1"/>
    </xf>
    <xf numFmtId="0" fontId="12" fillId="0" borderId="5" xfId="0" applyFont="1" applyBorder="1" applyAlignment="1">
      <alignment wrapText="1"/>
    </xf>
    <xf numFmtId="167" fontId="10" fillId="0" borderId="12" xfId="1" applyNumberFormat="1" applyFont="1" applyBorder="1" applyAlignment="1">
      <alignment horizontal="right" wrapText="1"/>
    </xf>
    <xf numFmtId="0" fontId="19" fillId="0" borderId="15" xfId="0" applyFont="1" applyBorder="1" applyAlignment="1">
      <alignment wrapText="1"/>
    </xf>
    <xf numFmtId="0" fontId="20" fillId="0" borderId="16" xfId="0" applyFont="1" applyBorder="1"/>
    <xf numFmtId="167" fontId="20" fillId="0" borderId="16" xfId="1" applyNumberFormat="1" applyFont="1" applyBorder="1"/>
    <xf numFmtId="167" fontId="18" fillId="0" borderId="12" xfId="1" applyNumberFormat="1" applyFont="1" applyBorder="1" applyAlignment="1">
      <alignment horizontal="right" wrapText="1"/>
    </xf>
    <xf numFmtId="0" fontId="18" fillId="0" borderId="1" xfId="0" applyFont="1" applyBorder="1" applyAlignment="1">
      <alignment wrapText="1"/>
    </xf>
    <xf numFmtId="167" fontId="18" fillId="0" borderId="1" xfId="1" applyNumberFormat="1" applyFont="1" applyBorder="1" applyAlignment="1">
      <alignment horizontal="right" wrapText="1"/>
    </xf>
    <xf numFmtId="167" fontId="17" fillId="0" borderId="17" xfId="1" applyNumberFormat="1" applyFont="1" applyFill="1" applyBorder="1" applyAlignment="1">
      <alignment horizontal="right" wrapText="1"/>
    </xf>
    <xf numFmtId="167" fontId="16" fillId="0" borderId="13" xfId="0" applyNumberFormat="1" applyFont="1" applyBorder="1"/>
    <xf numFmtId="43" fontId="16" fillId="0" borderId="13" xfId="0" applyNumberFormat="1" applyFont="1" applyBorder="1"/>
    <xf numFmtId="166" fontId="16" fillId="0" borderId="14" xfId="0" applyNumberFormat="1" applyFont="1" applyBorder="1"/>
    <xf numFmtId="166" fontId="16" fillId="0" borderId="13" xfId="0" applyNumberFormat="1" applyFont="1" applyBorder="1"/>
    <xf numFmtId="0" fontId="2" fillId="2" borderId="0" xfId="0" applyFont="1" applyFill="1"/>
    <xf numFmtId="10" fontId="15" fillId="0" borderId="0" xfId="0" applyNumberFormat="1" applyFont="1" applyAlignment="1">
      <alignment horizontal="right" vertical="center"/>
    </xf>
    <xf numFmtId="9" fontId="15" fillId="0" borderId="0" xfId="0" applyNumberFormat="1" applyFont="1" applyAlignment="1">
      <alignment horizontal="right" vertical="center"/>
    </xf>
    <xf numFmtId="1" fontId="15" fillId="0" borderId="0" xfId="0" applyNumberFormat="1" applyFont="1" applyAlignment="1">
      <alignment horizontal="right" vertical="center"/>
    </xf>
    <xf numFmtId="0" fontId="15" fillId="0" borderId="0" xfId="0" applyFont="1" applyAlignment="1">
      <alignment horizontal="left" vertical="center"/>
    </xf>
    <xf numFmtId="3" fontId="15" fillId="0" borderId="0" xfId="0" applyNumberFormat="1" applyFont="1" applyAlignment="1">
      <alignment horizontal="left" vertical="center"/>
    </xf>
    <xf numFmtId="0" fontId="0" fillId="4" borderId="18" xfId="0" applyFont="1" applyFill="1" applyBorder="1"/>
    <xf numFmtId="0" fontId="0" fillId="0" borderId="18" xfId="0" applyFont="1" applyBorder="1"/>
    <xf numFmtId="0" fontId="0" fillId="5" borderId="0" xfId="0" applyFont="1" applyFill="1" applyAlignment="1">
      <alignment horizontal="left" vertical="center"/>
    </xf>
    <xf numFmtId="0" fontId="0" fillId="0" borderId="0" xfId="0" applyFont="1" applyAlignment="1">
      <alignment horizontal="left" vertical="center"/>
    </xf>
    <xf numFmtId="3" fontId="0" fillId="0" borderId="0" xfId="0" applyNumberFormat="1" applyFont="1" applyAlignment="1">
      <alignment horizontal="left" vertical="center"/>
    </xf>
    <xf numFmtId="0" fontId="0" fillId="0" borderId="0" xfId="0" applyFont="1"/>
    <xf numFmtId="10" fontId="0" fillId="0" borderId="0" xfId="0" applyNumberFormat="1" applyFont="1" applyAlignment="1">
      <alignment horizontal="right" vertical="center"/>
    </xf>
    <xf numFmtId="9" fontId="0" fillId="0" borderId="0" xfId="0" applyNumberFormat="1" applyFont="1" applyAlignment="1">
      <alignment horizontal="right" vertical="center"/>
    </xf>
    <xf numFmtId="1" fontId="0" fillId="0" borderId="0" xfId="0" applyNumberFormat="1" applyFont="1" applyAlignment="1">
      <alignment horizontal="right" vertical="center"/>
    </xf>
    <xf numFmtId="3" fontId="17" fillId="0" borderId="0" xfId="0" applyNumberFormat="1" applyFont="1" applyBorder="1" applyAlignment="1">
      <alignment horizontal="right" vertical="center" wrapText="1"/>
    </xf>
    <xf numFmtId="3" fontId="22" fillId="0" borderId="0" xfId="0" applyNumberFormat="1" applyFont="1" applyBorder="1" applyAlignment="1">
      <alignment horizontal="right" vertical="center" wrapText="1"/>
    </xf>
    <xf numFmtId="0" fontId="21" fillId="0" borderId="0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right" vertical="center" wrapText="1"/>
    </xf>
    <xf numFmtId="0" fontId="0" fillId="0" borderId="0" xfId="0" applyBorder="1"/>
    <xf numFmtId="0" fontId="0" fillId="0" borderId="0" xfId="0" applyFont="1" applyBorder="1"/>
    <xf numFmtId="3" fontId="19" fillId="0" borderId="0" xfId="0" applyNumberFormat="1" applyFont="1" applyBorder="1" applyAlignment="1">
      <alignment horizontal="right" vertical="center" wrapText="1"/>
    </xf>
    <xf numFmtId="0" fontId="0" fillId="0" borderId="0" xfId="0" applyFont="1" applyBorder="1" applyAlignment="1">
      <alignment horizontal="left" vertical="center" wrapText="1"/>
    </xf>
    <xf numFmtId="3" fontId="0" fillId="0" borderId="0" xfId="0" applyNumberFormat="1" applyFont="1" applyBorder="1" applyAlignment="1">
      <alignment horizontal="right" vertical="center"/>
    </xf>
    <xf numFmtId="0" fontId="0" fillId="0" borderId="0" xfId="0" applyFont="1" applyBorder="1" applyAlignment="1">
      <alignment horizontal="right" vertical="center"/>
    </xf>
    <xf numFmtId="3" fontId="0" fillId="0" borderId="0" xfId="0" applyNumberFormat="1" applyFont="1" applyBorder="1" applyAlignment="1">
      <alignment horizontal="right" vertical="center" wrapText="1"/>
    </xf>
    <xf numFmtId="0" fontId="0" fillId="0" borderId="0" xfId="0" applyFont="1" applyBorder="1" applyAlignment="1">
      <alignment horizontal="right" vertical="center" wrapText="1"/>
    </xf>
    <xf numFmtId="0" fontId="0" fillId="4" borderId="0" xfId="0" applyFont="1" applyFill="1" applyBorder="1"/>
    <xf numFmtId="0" fontId="0" fillId="0" borderId="0" xfId="0" applyFont="1" applyBorder="1" applyAlignment="1">
      <alignment wrapText="1"/>
    </xf>
    <xf numFmtId="0" fontId="24" fillId="0" borderId="0" xfId="0" applyFont="1" applyBorder="1" applyAlignment="1">
      <alignment wrapText="1"/>
    </xf>
    <xf numFmtId="0" fontId="18" fillId="0" borderId="0" xfId="0" applyFont="1" applyBorder="1" applyAlignment="1">
      <alignment wrapText="1"/>
    </xf>
    <xf numFmtId="0" fontId="0" fillId="0" borderId="0" xfId="0" applyAlignment="1">
      <alignment horizontal="justify" vertical="center"/>
    </xf>
    <xf numFmtId="3" fontId="21" fillId="0" borderId="0" xfId="0" applyNumberFormat="1" applyFont="1" applyBorder="1" applyAlignment="1">
      <alignment horizontal="left" vertical="center"/>
    </xf>
    <xf numFmtId="3" fontId="23" fillId="0" borderId="0" xfId="0" applyNumberFormat="1" applyFont="1" applyBorder="1" applyAlignment="1">
      <alignment horizontal="left" vertical="center"/>
    </xf>
    <xf numFmtId="4" fontId="0" fillId="0" borderId="0" xfId="0" applyNumberFormat="1" applyFont="1" applyBorder="1" applyAlignment="1">
      <alignment horizontal="left" vertical="center"/>
    </xf>
    <xf numFmtId="3" fontId="0" fillId="0" borderId="0" xfId="0" applyNumberFormat="1" applyFont="1" applyBorder="1" applyAlignment="1">
      <alignment horizontal="left" vertical="center"/>
    </xf>
    <xf numFmtId="3" fontId="0" fillId="0" borderId="0" xfId="0" applyNumberFormat="1" applyFont="1" applyBorder="1" applyAlignment="1">
      <alignment horizontal="left" vertical="center" wrapText="1"/>
    </xf>
    <xf numFmtId="0" fontId="0" fillId="0" borderId="0" xfId="0" applyFont="1" applyBorder="1" applyAlignment="1">
      <alignment horizontal="left"/>
    </xf>
    <xf numFmtId="3" fontId="15" fillId="0" borderId="0" xfId="0" applyNumberFormat="1" applyFont="1" applyBorder="1" applyAlignment="1">
      <alignment horizontal="left" vertical="center"/>
    </xf>
    <xf numFmtId="3" fontId="20" fillId="0" borderId="0" xfId="0" applyNumberFormat="1" applyFont="1" applyBorder="1" applyAlignment="1">
      <alignment horizontal="left" vertical="center"/>
    </xf>
    <xf numFmtId="0" fontId="0" fillId="0" borderId="0" xfId="0" applyFont="1" applyAlignment="1">
      <alignment wrapText="1"/>
    </xf>
    <xf numFmtId="0" fontId="22" fillId="0" borderId="0" xfId="0" applyFont="1" applyBorder="1" applyAlignment="1">
      <alignment horizontal="right" vertical="center" wrapText="1"/>
    </xf>
    <xf numFmtId="0" fontId="0" fillId="4" borderId="19" xfId="0" applyFont="1" applyFill="1" applyBorder="1"/>
    <xf numFmtId="0" fontId="0" fillId="0" borderId="0" xfId="0" applyFont="1" applyFill="1" applyBorder="1" applyAlignment="1">
      <alignment wrapText="1"/>
    </xf>
  </cellXfs>
  <cellStyles count="3">
    <cellStyle name="Comma" xfId="1" builtinId="3"/>
    <cellStyle name="Normal" xfId="0" builtinId="0"/>
    <cellStyle name="Percent" xfId="2" builtinId="5"/>
  </cellStyles>
  <dxfs count="6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</dxf>
    <dxf>
      <font>
        <strike val="0"/>
        <outline val="0"/>
        <shadow val="0"/>
        <u val="none"/>
        <vertAlign val="baseline"/>
        <sz val="11"/>
        <color theme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F124D7-A354-446F-BD98-DA8BE8BB57FF}" name="Table1" displayName="Table1" ref="A1:G10" totalsRowShown="0" dataDxfId="52">
  <autoFilter ref="A1:G10" xr:uid="{91F124D7-A354-446F-BD98-DA8BE8BB57FF}"/>
  <tableColumns count="7">
    <tableColumn id="1" xr3:uid="{4B6869D6-3A98-4EA7-8392-F5D86EA16362}" name="Sales Growth rate" dataDxfId="59"/>
    <tableColumn id="2" xr3:uid="{F58AF492-5CEB-47D1-B46C-6B50A9997D4C}" name="Gross Profit Margin" dataDxfId="58"/>
    <tableColumn id="3" xr3:uid="{6FB0E6DD-2AE3-4ADC-912F-5018EAEF79FA}" name="SC&amp;A as a %age of Sales" dataDxfId="57"/>
    <tableColumn id="4" xr3:uid="{084E1EFF-0247-48F8-B0D7-F22BC568D3D1}" name="Depriciation Expense as a %age of Sales" dataDxfId="56"/>
    <tableColumn id="5" xr3:uid="{51C3A932-2A64-4779-82DB-004692E907DA}" name="Interst Expense as a %age of LTL" dataDxfId="55"/>
    <tableColumn id="6" xr3:uid="{ADA7B8F8-4A94-46AF-8ABC-2F2E34997DE0}" name="Tax as a %age of PBT" dataDxfId="54"/>
    <tableColumn id="7" xr3:uid="{065EEBE8-E68D-413C-827B-CBB9E44967CE}" name="Year" dataDxfId="5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192613F-3ECD-4C07-8D5B-06D215090380}" name="Table4" displayName="Table4" ref="A1:F10" totalsRowShown="0" dataDxfId="60">
  <autoFilter ref="A1:F10" xr:uid="{A192613F-3ECD-4C07-8D5B-06D215090380}"/>
  <tableColumns count="6">
    <tableColumn id="1" xr3:uid="{33425EE3-469D-4156-BCF0-C4855FA2BD72}" name="Capital Turnover Ratio" dataDxfId="66"/>
    <tableColumn id="2" xr3:uid="{372BC7FC-34A5-42FA-AE27-63D7415197FC}" name="Receivable Days(Revenue Base)" dataDxfId="65"/>
    <tableColumn id="3" xr3:uid="{C72506E8-9E8E-45F1-A62E-1721EFD30F5A}" name="Inventory Days (COS Base)" dataDxfId="64"/>
    <tableColumn id="4" xr3:uid="{C1918899-DBC2-45FE-8B9F-86D0AFF6E68F}" name="Payable Days (COS Base)" dataDxfId="63"/>
    <tableColumn id="5" xr3:uid="{8C8500C8-1B58-431C-80B6-50C86DC6E07C}" name="Long Term Liabilities (LTL)" dataDxfId="62"/>
    <tableColumn id="6" xr3:uid="{A97B0FAC-6B6C-4112-B4D2-9F63A06A94BE}" name="Year" dataDxfId="6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C4E0A5C-3F29-41B7-B828-E2500FB46CFE}" name="Table5" displayName="Table5" ref="A1:K10" totalsRowShown="0" headerRowDxfId="40" dataDxfId="39">
  <autoFilter ref="A1:K10" xr:uid="{2C4E0A5C-3F29-41B7-B828-E2500FB46CFE}"/>
  <tableColumns count="11">
    <tableColumn id="1" xr3:uid="{D0DD596D-2DFB-4502-8586-AD96D2DBDE3E}" name="Sales Revenue" dataDxfId="51"/>
    <tableColumn id="2" xr3:uid="{18C9C34C-2A0A-416A-BEA8-503B57AE7106}" name="Cost of Sales" dataDxfId="50"/>
    <tableColumn id="3" xr3:uid="{C3D31A9D-B862-4FCF-B9E5-C8DCE920CFFF}" name="Gross Profit" dataDxfId="49"/>
    <tableColumn id="4" xr3:uid="{54E55A0D-EB5E-45A0-8C7F-88D81D9D4122}" name="Column1" dataDxfId="48"/>
    <tableColumn id="5" xr3:uid="{A092F3A3-A5E6-489F-9A1E-9A417A645CC0}" name="SG&amp;A Expense" dataDxfId="47"/>
    <tableColumn id="6" xr3:uid="{78E685C3-C02B-4765-9CD8-8BB9F242DA73}" name="Depreciation Expense" dataDxfId="46"/>
    <tableColumn id="7" xr3:uid="{74801EFA-1D62-461B-AB9B-D467595FC456}" name="Interest Expense" dataDxfId="45"/>
    <tableColumn id="8" xr3:uid="{7A88A2E2-213B-4E4A-A920-102F2588EEB7}" name="Income Before Income Taxes" dataDxfId="44"/>
    <tableColumn id="9" xr3:uid="{C09DB9C7-37F0-4C9F-BE0A-7C2AF63DAD81}" name="Income Taxes" dataDxfId="43"/>
    <tableColumn id="10" xr3:uid="{46896AE1-1626-4C34-B275-EDA57A45C1AC}" name="Profit after tax" dataDxfId="42"/>
    <tableColumn id="11" xr3:uid="{E1585D69-D87F-4537-A29E-660F62AE0643}" name="Year" dataDxfId="4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28CF7A9-890D-4C86-952E-C67B3322F3B2}" name="Table6" displayName="Table6" ref="A1:P11" totalsRowShown="0" headerRowDxfId="22" dataDxfId="23">
  <autoFilter ref="A1:P11" xr:uid="{C28CF7A9-890D-4C86-952E-C67B3322F3B2}"/>
  <tableColumns count="16">
    <tableColumn id="1" xr3:uid="{E952E521-0E60-4614-9158-6D3E1902B5DE}" name="Property, Plant &amp; Equipment" dataDxfId="38"/>
    <tableColumn id="2" xr3:uid="{C32DFAA1-7A0C-4E72-95B5-AC890F71A107}" name="Cash &amp; Cash Equivalents" dataDxfId="37"/>
    <tableColumn id="3" xr3:uid="{69CFFEFE-4269-4416-A71B-636F090DD812}" name="Accounts Receivable" dataDxfId="36"/>
    <tableColumn id="4" xr3:uid="{6786788D-2E90-443C-A708-ACE5C94B06D7}" name="Inventories" dataDxfId="35"/>
    <tableColumn id="5" xr3:uid="{BBE81F6C-2AC1-4CE9-B56A-B4ED30BA665A}" name="Total Current Assets" dataDxfId="34"/>
    <tableColumn id="6" xr3:uid="{24931CE7-1745-4E51-A4CC-3169CE4BD58F}" name="Total Assets" dataDxfId="33"/>
    <tableColumn id="7" xr3:uid="{F89BE96B-4E68-43E3-B23C-1E314F4D0601}" name="Share Capital" dataDxfId="32"/>
    <tableColumn id="8" xr3:uid="{B602B827-75BB-42A5-9651-DF6ED3E8930A}" name="Retained Earnings" dataDxfId="31"/>
    <tableColumn id="9" xr3:uid="{46DFA7A6-4948-4396-AD73-F65723E9A0A8}" name="Total Shareholders' Equity" dataDxfId="30"/>
    <tableColumn id="10" xr3:uid="{B2FE44EE-22AB-49CA-8B72-8C9AFD100604}" name="Long-Term Debt" dataDxfId="29"/>
    <tableColumn id="11" xr3:uid="{2F49CAA6-E70E-4BA6-8322-0C396A914B70}" name="Total" dataDxfId="28"/>
    <tableColumn id="12" xr3:uid="{8751A466-3620-4123-906A-5B15137A9642}" name="Accounts Payable" dataDxfId="27"/>
    <tableColumn id="13" xr3:uid="{F4F0420B-4C7E-4DFF-AFA7-CBEE8433C265}" name="Total Current Liabilities" dataDxfId="26"/>
    <tableColumn id="14" xr3:uid="{9E789CD6-B446-499B-9B20-4C5AE6B5D631}" name="Total Liabilities" dataDxfId="25"/>
    <tableColumn id="15" xr3:uid="{5C0D5B95-21BA-431A-980F-2ADDED6D2EBE}" name="Total Liabilities and Shareholders' Equity" dataDxfId="24"/>
    <tableColumn id="16" xr3:uid="{5C412C0C-AD4C-4F94-8362-B90B16B7127F}" name="year" dataDxfId="2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EC1BA9B-898A-4739-B9BB-DAC9D6BDFDE9}" name="Table7" displayName="Table7" ref="A1:S10" totalsRowShown="0" headerRowDxfId="0" dataDxfId="1">
  <autoFilter ref="A1:S10" xr:uid="{7EC1BA9B-898A-4739-B9BB-DAC9D6BDFDE9}"/>
  <tableColumns count="19">
    <tableColumn id="1" xr3:uid="{14A998F0-0499-44CE-A58B-F8C9E5FF48D4}" name="Profit after tax" dataDxfId="20"/>
    <tableColumn id="2" xr3:uid="{960AD631-6551-4306-945F-95FE847B074C}" name="Adjustments For:" dataDxfId="19"/>
    <tableColumn id="3" xr3:uid="{3E82501F-61AA-4EA7-B6AB-B3E87DC47789}" name="Depreciation Expense" dataDxfId="18"/>
    <tableColumn id="4" xr3:uid="{8CAC6C86-83FB-48A4-A3CA-403F3DB97139}" name="Changes in Non-Cash Working Capital" dataDxfId="17"/>
    <tableColumn id="5" xr3:uid="{C012AD04-959B-4C97-8A3A-B988C6B391FB}" name="Cash Generated From Operating Activities" dataDxfId="16"/>
    <tableColumn id="6" xr3:uid="{012B4618-D99A-477A-8760-680E219E00D0}" name="Column1" dataDxfId="15"/>
    <tableColumn id="7" xr3:uid="{A8D8EEF5-49F2-4BF4-812B-2225D4DEADD3}" name="Investing Activities" dataDxfId="14"/>
    <tableColumn id="8" xr3:uid="{BDE2E756-08AA-4B53-913C-A99DB59083A1}" name="Additions to PPE" dataDxfId="13"/>
    <tableColumn id="9" xr3:uid="{48EFA1DD-8DF0-42D9-B087-7BD108079F9D}" name="Cash (Used For) Investing Activities" dataDxfId="12"/>
    <tableColumn id="10" xr3:uid="{AAC313B0-25FB-4A6A-9F3B-16812C6C0C55}" name="Column2" dataDxfId="11"/>
    <tableColumn id="11" xr3:uid="{9BF94561-027A-4E76-90E8-4A873E3BFF65}" name="Financing Activities" dataDxfId="10"/>
    <tableColumn id="12" xr3:uid="{3A858C5B-EA0C-4D42-AF24-9C2028BB6696}" name="Repayment of Debt" dataDxfId="9"/>
    <tableColumn id="13" xr3:uid="{95A938FA-FA03-4A8D-8E4A-0ED5AA5F7873}" name="Issuance of Equity" dataDxfId="8"/>
    <tableColumn id="14" xr3:uid="{C8AB6F4E-9CB9-4E2C-9CA7-DF0AE449C592}" name="Cash (Used For) Generated From Financing Activities" dataDxfId="7"/>
    <tableColumn id="15" xr3:uid="{FF6F9B93-004F-4AD8-A7FB-88EA04126791}" name="Column3" dataDxfId="6"/>
    <tableColumn id="16" xr3:uid="{381D6E72-E937-4298-822B-EACBAED99EC2}" name="Cash (Used) Generated in the Period" dataDxfId="5"/>
    <tableColumn id="17" xr3:uid="{0BEA60C9-BCFF-476C-884E-D3EADD63C21B}" name="Cash &amp; Cash Equivalents at Start" dataDxfId="4"/>
    <tableColumn id="18" xr3:uid="{B013FE8D-D8B5-432C-82EB-44D4CB55216B}" name="Cash &amp; Cash Equivalents at End" dataDxfId="3"/>
    <tableColumn id="19" xr3:uid="{CB07100D-DA0F-4F5F-A6A9-879ECC126362}" name="Yea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E3DA2-9FE1-4012-80CD-2FD1ED95B63A}">
  <dimension ref="A1:O96"/>
  <sheetViews>
    <sheetView tabSelected="1" zoomScale="93" zoomScaleNormal="93" workbookViewId="0">
      <pane xSplit="2" ySplit="4" topLeftCell="C60" activePane="bottomRight" state="frozen"/>
      <selection pane="topRight" activeCell="C1" sqref="C1"/>
      <selection pane="bottomLeft" activeCell="A5" sqref="A5"/>
      <selection pane="bottomRight" activeCell="G68" sqref="G68"/>
    </sheetView>
  </sheetViews>
  <sheetFormatPr defaultRowHeight="15" outlineLevelRow="1" x14ac:dyDescent="0.25"/>
  <cols>
    <col min="1" max="1" width="36.85546875" bestFit="1" customWidth="1"/>
    <col min="2" max="2" width="1.7109375" customWidth="1"/>
    <col min="3" max="7" width="12.42578125" bestFit="1" customWidth="1"/>
    <col min="8" max="8" width="11" bestFit="1" customWidth="1"/>
    <col min="9" max="9" width="12.28515625" customWidth="1"/>
    <col min="10" max="15" width="11" bestFit="1" customWidth="1"/>
  </cols>
  <sheetData>
    <row r="1" spans="1:15" ht="23.25" x14ac:dyDescent="0.35">
      <c r="A1" s="79" t="s">
        <v>77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</row>
    <row r="2" spans="1:15" ht="18.75" x14ac:dyDescent="0.3">
      <c r="A2" s="4" t="s">
        <v>0</v>
      </c>
      <c r="C2" s="2">
        <v>2018</v>
      </c>
      <c r="D2" s="2">
        <f>C2+1</f>
        <v>2019</v>
      </c>
      <c r="E2" s="2">
        <f>D2+1</f>
        <v>2020</v>
      </c>
      <c r="F2" s="2">
        <f>E2+1</f>
        <v>2021</v>
      </c>
      <c r="G2" s="2">
        <f>F2+1</f>
        <v>2022</v>
      </c>
      <c r="H2" s="3">
        <f>G2+1</f>
        <v>2023</v>
      </c>
      <c r="I2" s="3">
        <f>H2+1</f>
        <v>2024</v>
      </c>
      <c r="J2" s="3">
        <f>I2+1</f>
        <v>2025</v>
      </c>
      <c r="K2" s="3">
        <f>J2+1</f>
        <v>2026</v>
      </c>
      <c r="L2" s="3">
        <f>K2+1</f>
        <v>2027</v>
      </c>
      <c r="M2" s="3">
        <f>L2+1</f>
        <v>2028</v>
      </c>
      <c r="N2" s="3">
        <f>M2+1</f>
        <v>2029</v>
      </c>
      <c r="O2" s="3">
        <f>N2+1</f>
        <v>2030</v>
      </c>
    </row>
    <row r="3" spans="1:15" x14ac:dyDescent="0.25">
      <c r="A3" s="4" t="s">
        <v>1</v>
      </c>
      <c r="C3" s="4">
        <v>365</v>
      </c>
      <c r="D3" s="4">
        <v>365</v>
      </c>
      <c r="E3" s="4">
        <v>365</v>
      </c>
      <c r="F3" s="4">
        <v>365</v>
      </c>
      <c r="G3" s="4">
        <v>365</v>
      </c>
      <c r="H3" s="4">
        <v>365</v>
      </c>
      <c r="I3" s="4">
        <v>365</v>
      </c>
      <c r="J3" s="4">
        <v>365</v>
      </c>
      <c r="K3" s="4">
        <v>365</v>
      </c>
      <c r="L3" s="4">
        <v>365</v>
      </c>
      <c r="M3" s="4">
        <v>365</v>
      </c>
      <c r="N3" s="4">
        <v>365</v>
      </c>
      <c r="O3" s="4">
        <v>365</v>
      </c>
    </row>
    <row r="4" spans="1:15" x14ac:dyDescent="0.25">
      <c r="A4" s="4" t="s">
        <v>2</v>
      </c>
      <c r="C4" t="str">
        <f>IF(C43=C56,"Balanced","Error")</f>
        <v>Balanced</v>
      </c>
      <c r="D4" t="str">
        <f>IF(D43=D56,"Balanced","Error")</f>
        <v>Balanced</v>
      </c>
      <c r="E4" t="str">
        <f>IF(E43=E56,"Balanced","Error")</f>
        <v>Balanced</v>
      </c>
      <c r="F4" t="str">
        <f>IF(F43=F56,"Balanced","Error")</f>
        <v>Balanced</v>
      </c>
      <c r="G4" t="str">
        <f>IF(G43=G56,"Balanced","Error")</f>
        <v>Balanced</v>
      </c>
      <c r="H4" t="str">
        <f>IF(H43=H56,"Balanced","Error")</f>
        <v>Error</v>
      </c>
      <c r="I4" t="str">
        <f>IF(I43=I56,"Balanced","Error")</f>
        <v>Error</v>
      </c>
      <c r="J4" t="str">
        <f>IF(J43=J56,"Balanced","Error")</f>
        <v>Error</v>
      </c>
      <c r="K4" t="str">
        <f>IF(K43=K56,"Balanced","Error")</f>
        <v>Error</v>
      </c>
      <c r="L4" t="str">
        <f>IF(L43=L56,"Balanced","Error")</f>
        <v>Error</v>
      </c>
      <c r="M4" t="str">
        <f>IF(M43=M56,"Balanced","Error")</f>
        <v>Error</v>
      </c>
      <c r="N4" t="str">
        <f>IF(N43=N56,"Balanced","Error")</f>
        <v>Error</v>
      </c>
      <c r="O4" t="str">
        <f>IF(O43=O56,"Balanced","Error")</f>
        <v>Error</v>
      </c>
    </row>
    <row r="5" spans="1:15" x14ac:dyDescent="0.25">
      <c r="A5" s="4"/>
    </row>
    <row r="6" spans="1:15" ht="15.75" x14ac:dyDescent="0.25">
      <c r="A6" s="26" t="s">
        <v>50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5.75" outlineLevel="1" x14ac:dyDescent="0.25">
      <c r="A7" s="29" t="s">
        <v>3</v>
      </c>
    </row>
    <row r="8" spans="1:15" outlineLevel="1" x14ac:dyDescent="0.25">
      <c r="A8" t="s">
        <v>51</v>
      </c>
      <c r="C8" s="27"/>
      <c r="D8" s="27">
        <f>D23/C23-1</f>
        <v>0.15762643740135474</v>
      </c>
      <c r="E8" s="27">
        <f>E23/D23-1</f>
        <v>0.1122825737174602</v>
      </c>
      <c r="F8" s="27">
        <f>F23/E23-1</f>
        <v>8.3718451406600947E-2</v>
      </c>
      <c r="G8" s="27">
        <f>G23/F23-1</f>
        <v>5.9231001608812672E-2</v>
      </c>
      <c r="H8" s="28">
        <v>0.1</v>
      </c>
      <c r="I8" s="28">
        <v>0.1</v>
      </c>
      <c r="J8" s="28">
        <v>0.1</v>
      </c>
      <c r="K8" s="28">
        <v>0.1</v>
      </c>
      <c r="L8" s="28">
        <v>0.1</v>
      </c>
      <c r="M8" s="28">
        <v>0.1</v>
      </c>
      <c r="N8" s="28">
        <v>0.1</v>
      </c>
      <c r="O8" s="28">
        <v>0.1</v>
      </c>
    </row>
    <row r="9" spans="1:15" outlineLevel="1" x14ac:dyDescent="0.25">
      <c r="A9" t="s">
        <v>52</v>
      </c>
      <c r="C9" s="30">
        <f>C25/C23</f>
        <v>0.61744782220827987</v>
      </c>
      <c r="D9" s="30">
        <f>D25/D23</f>
        <v>0.59348271598665381</v>
      </c>
      <c r="E9" s="30">
        <f>E25/E23</f>
        <v>0.62600022840610603</v>
      </c>
      <c r="F9" s="30">
        <f>F25/F23</f>
        <v>0.62587026928291922</v>
      </c>
      <c r="G9" s="30">
        <f>G25/G23</f>
        <v>0.61988963468017932</v>
      </c>
      <c r="H9" s="31">
        <v>0.62</v>
      </c>
      <c r="I9" s="31">
        <v>0.62</v>
      </c>
      <c r="J9" s="31">
        <v>0.62</v>
      </c>
      <c r="K9" s="31">
        <v>0.62</v>
      </c>
      <c r="L9" s="31">
        <v>0.62</v>
      </c>
      <c r="M9" s="31">
        <v>0.62</v>
      </c>
      <c r="N9" s="31">
        <v>0.62</v>
      </c>
      <c r="O9" s="31">
        <v>0.62</v>
      </c>
    </row>
    <row r="10" spans="1:15" outlineLevel="1" x14ac:dyDescent="0.25">
      <c r="A10" t="s">
        <v>53</v>
      </c>
      <c r="C10" s="30">
        <f>-C27/C23</f>
        <v>0.36654347250678876</v>
      </c>
      <c r="D10" s="30">
        <f>-D27/D23</f>
        <v>0.27761970089595717</v>
      </c>
      <c r="E10" s="30">
        <f>-E27/E23</f>
        <v>0.2585480985191671</v>
      </c>
      <c r="F10" s="30">
        <f>-F27/F23</f>
        <v>0.23901757048215203</v>
      </c>
      <c r="G10" s="30">
        <f>-G27/G23</f>
        <v>0.24312869763616587</v>
      </c>
      <c r="H10" s="31">
        <v>0.2</v>
      </c>
      <c r="I10" s="31">
        <v>0.2</v>
      </c>
      <c r="J10" s="31">
        <v>0.2</v>
      </c>
      <c r="K10" s="31">
        <v>0.2</v>
      </c>
      <c r="L10" s="31">
        <v>0.2</v>
      </c>
      <c r="M10" s="31">
        <v>0.2</v>
      </c>
      <c r="N10" s="31">
        <v>0.2</v>
      </c>
      <c r="O10" s="31">
        <v>0.2</v>
      </c>
    </row>
    <row r="11" spans="1:15" outlineLevel="1" x14ac:dyDescent="0.25">
      <c r="A11" t="s">
        <v>54</v>
      </c>
      <c r="C11" s="30">
        <f>-C28/C23</f>
        <v>0.1911633515346986</v>
      </c>
      <c r="D11" s="30">
        <f>-D28/D23</f>
        <v>0.15370153955591687</v>
      </c>
      <c r="E11" s="30">
        <f>-E28/E23</f>
        <v>0.13099090182344209</v>
      </c>
      <c r="F11" s="30">
        <f>-F28/F23</f>
        <v>0.1162244188252155</v>
      </c>
      <c r="G11" s="30">
        <f>-G28/G23</f>
        <v>0.10665408696574961</v>
      </c>
      <c r="H11" s="31">
        <v>0.1</v>
      </c>
      <c r="I11" s="31">
        <v>0.1</v>
      </c>
      <c r="J11" s="31">
        <v>0.1</v>
      </c>
      <c r="K11" s="31">
        <v>0.1</v>
      </c>
      <c r="L11" s="31">
        <v>0.1</v>
      </c>
      <c r="M11" s="31">
        <v>0.1</v>
      </c>
      <c r="N11" s="31">
        <v>0.1</v>
      </c>
      <c r="O11" s="31">
        <v>0.1</v>
      </c>
    </row>
    <row r="12" spans="1:15" outlineLevel="1" x14ac:dyDescent="0.25">
      <c r="A12" t="s">
        <v>55</v>
      </c>
      <c r="C12" s="30">
        <f>-C29/C50</f>
        <v>0.05</v>
      </c>
      <c r="D12" s="30">
        <f>-D29/D50</f>
        <v>0.05</v>
      </c>
      <c r="E12" s="30">
        <f>-E29/E50</f>
        <v>0.05</v>
      </c>
      <c r="F12" s="30">
        <f>-F29/F50</f>
        <v>0.03</v>
      </c>
      <c r="G12" s="30">
        <f>-G29/G50</f>
        <v>0.03</v>
      </c>
      <c r="H12" s="31">
        <v>0.03</v>
      </c>
      <c r="I12" s="31">
        <v>0.03</v>
      </c>
      <c r="J12" s="31">
        <v>0.03</v>
      </c>
      <c r="K12" s="31">
        <v>0.03</v>
      </c>
      <c r="L12" s="31">
        <v>0.03</v>
      </c>
      <c r="M12" s="31">
        <v>0.03</v>
      </c>
      <c r="N12" s="31">
        <v>0.03</v>
      </c>
      <c r="O12" s="31">
        <v>0.03</v>
      </c>
    </row>
    <row r="13" spans="1:15" outlineLevel="1" x14ac:dyDescent="0.25">
      <c r="A13" t="s">
        <v>56</v>
      </c>
      <c r="C13" s="30">
        <f>-C31/C30</f>
        <v>0.31167779632721204</v>
      </c>
      <c r="D13" s="30">
        <f>-D31/D30</f>
        <v>0.29180251066130097</v>
      </c>
      <c r="E13" s="30">
        <f>-E31/E30</f>
        <v>0.28698863251911494</v>
      </c>
      <c r="F13" s="30">
        <f>-F31/F30</f>
        <v>0.28994112409127759</v>
      </c>
      <c r="G13" s="30">
        <f>-G31/G30</f>
        <v>0.29121910982044991</v>
      </c>
      <c r="H13" s="31">
        <v>0.3</v>
      </c>
      <c r="I13" s="31">
        <v>0.3</v>
      </c>
      <c r="J13" s="31">
        <v>0.3</v>
      </c>
      <c r="K13" s="31">
        <v>0.3</v>
      </c>
      <c r="L13" s="31">
        <v>0.3</v>
      </c>
      <c r="M13" s="31">
        <v>0.3</v>
      </c>
      <c r="N13" s="31">
        <v>0.3</v>
      </c>
      <c r="O13" s="31">
        <v>0.3</v>
      </c>
    </row>
    <row r="14" spans="1:15" outlineLevel="1" x14ac:dyDescent="0.25">
      <c r="A14" s="4"/>
    </row>
    <row r="15" spans="1:15" ht="15.75" outlineLevel="1" x14ac:dyDescent="0.25">
      <c r="A15" s="29" t="s">
        <v>57</v>
      </c>
    </row>
    <row r="16" spans="1:15" outlineLevel="1" x14ac:dyDescent="0.25">
      <c r="A16" t="s">
        <v>58</v>
      </c>
      <c r="C16" s="19">
        <f>C23/C37</f>
        <v>2.241912087912088</v>
      </c>
      <c r="D16" s="19">
        <f>D23/D37</f>
        <v>2.788335301062574</v>
      </c>
      <c r="E16" s="19">
        <f>E23/E37</f>
        <v>3.2717648524100138</v>
      </c>
      <c r="F16" s="19">
        <f>F23/F37</f>
        <v>3.687447378987863</v>
      </c>
      <c r="G16" s="19">
        <f>G23/G37</f>
        <v>4.0183310435075779</v>
      </c>
      <c r="H16" s="32">
        <v>4</v>
      </c>
      <c r="I16" s="32">
        <v>4</v>
      </c>
      <c r="J16" s="32">
        <v>4</v>
      </c>
      <c r="K16" s="32">
        <v>4</v>
      </c>
      <c r="L16" s="32">
        <v>4</v>
      </c>
      <c r="M16" s="32">
        <v>4</v>
      </c>
      <c r="N16" s="32">
        <v>4</v>
      </c>
      <c r="O16" s="32">
        <v>4</v>
      </c>
    </row>
    <row r="17" spans="1:15" outlineLevel="1" x14ac:dyDescent="0.25">
      <c r="A17" t="s">
        <v>61</v>
      </c>
      <c r="C17" s="19">
        <f>C40/C23*C3</f>
        <v>18.25</v>
      </c>
      <c r="D17" s="19">
        <f>D40/D23*D3</f>
        <v>18.25</v>
      </c>
      <c r="E17" s="19">
        <f>E40/E23*E3</f>
        <v>18.25</v>
      </c>
      <c r="F17" s="19">
        <f>F40/F23*F3</f>
        <v>18.25</v>
      </c>
      <c r="G17" s="19">
        <f>G40/G23*G3</f>
        <v>18.25</v>
      </c>
      <c r="H17" s="32">
        <v>18</v>
      </c>
      <c r="I17" s="32">
        <v>18</v>
      </c>
      <c r="J17" s="32">
        <v>18</v>
      </c>
      <c r="K17" s="32">
        <v>18</v>
      </c>
      <c r="L17" s="32">
        <v>18</v>
      </c>
      <c r="M17" s="32">
        <v>18</v>
      </c>
      <c r="N17" s="32">
        <v>18</v>
      </c>
      <c r="O17" s="32">
        <v>18</v>
      </c>
    </row>
    <row r="18" spans="1:15" outlineLevel="1" x14ac:dyDescent="0.25">
      <c r="A18" t="s">
        <v>60</v>
      </c>
      <c r="C18" s="19">
        <f>-C41/C24*C3</f>
        <v>73</v>
      </c>
      <c r="D18" s="19">
        <f>-D41/D24*D3</f>
        <v>73</v>
      </c>
      <c r="E18" s="19">
        <f>-E41/E24*E3</f>
        <v>73</v>
      </c>
      <c r="F18" s="19">
        <f>-F41/F24*F3</f>
        <v>72.17752657077402</v>
      </c>
      <c r="G18" s="19">
        <f>-G41/G24*G3</f>
        <v>72.235735473739311</v>
      </c>
      <c r="H18" s="32">
        <v>72</v>
      </c>
      <c r="I18" s="32">
        <v>72</v>
      </c>
      <c r="J18" s="32">
        <v>72</v>
      </c>
      <c r="K18" s="32">
        <v>72</v>
      </c>
      <c r="L18" s="32">
        <v>72</v>
      </c>
      <c r="M18" s="32">
        <v>72</v>
      </c>
      <c r="N18" s="32">
        <v>72</v>
      </c>
      <c r="O18" s="32">
        <v>72</v>
      </c>
    </row>
    <row r="19" spans="1:15" outlineLevel="1" x14ac:dyDescent="0.25">
      <c r="A19" t="s">
        <v>59</v>
      </c>
      <c r="C19" s="19">
        <f>-C53/C24*C3</f>
        <v>36.5</v>
      </c>
      <c r="D19" s="19">
        <f>-D53/D24*D3</f>
        <v>36.5</v>
      </c>
      <c r="E19" s="19">
        <f>-E53/E24*E3</f>
        <v>36.5</v>
      </c>
      <c r="F19" s="19">
        <f>-F53/F24*F3</f>
        <v>36.08876328538701</v>
      </c>
      <c r="G19" s="19">
        <f>-G53/G24*G3</f>
        <v>36.117867736869655</v>
      </c>
      <c r="H19" s="32">
        <v>36</v>
      </c>
      <c r="I19" s="32">
        <v>36</v>
      </c>
      <c r="J19" s="32">
        <v>36</v>
      </c>
      <c r="K19" s="32">
        <v>36</v>
      </c>
      <c r="L19" s="32">
        <v>36</v>
      </c>
      <c r="M19" s="32">
        <v>36</v>
      </c>
      <c r="N19" s="32">
        <v>36</v>
      </c>
      <c r="O19" s="32">
        <v>36</v>
      </c>
    </row>
    <row r="20" spans="1:15" outlineLevel="1" x14ac:dyDescent="0.25">
      <c r="A20" t="s">
        <v>62</v>
      </c>
      <c r="C20" s="19">
        <f>C50</f>
        <v>50000</v>
      </c>
      <c r="D20" s="19">
        <f t="shared" ref="D20:G20" si="0">D50</f>
        <v>50000</v>
      </c>
      <c r="E20" s="19">
        <f t="shared" si="0"/>
        <v>30000</v>
      </c>
      <c r="F20" s="19">
        <f t="shared" si="0"/>
        <v>30000</v>
      </c>
      <c r="G20" s="19">
        <f t="shared" si="0"/>
        <v>30000</v>
      </c>
      <c r="H20" s="32">
        <v>30000</v>
      </c>
      <c r="I20" s="32">
        <v>30000</v>
      </c>
      <c r="J20" s="32">
        <v>30000</v>
      </c>
      <c r="K20" s="32">
        <v>30000</v>
      </c>
      <c r="L20" s="32">
        <v>30000</v>
      </c>
      <c r="M20" s="32">
        <v>30000</v>
      </c>
      <c r="N20" s="32">
        <v>30000</v>
      </c>
      <c r="O20" s="32">
        <v>30000</v>
      </c>
    </row>
    <row r="21" spans="1:15" x14ac:dyDescent="0.25">
      <c r="A21" s="6" t="s">
        <v>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0.95" customHeight="1" thickBot="1" x14ac:dyDescent="0.3">
      <c r="A22" s="11"/>
    </row>
    <row r="23" spans="1:15" ht="15.75" outlineLevel="1" thickBot="1" x14ac:dyDescent="0.3">
      <c r="A23" s="7" t="s">
        <v>6</v>
      </c>
      <c r="C23" s="12">
        <v>102007</v>
      </c>
      <c r="D23" s="12">
        <v>118086</v>
      </c>
      <c r="E23" s="12">
        <v>131345</v>
      </c>
      <c r="F23" s="12">
        <v>142341</v>
      </c>
      <c r="G23" s="12">
        <v>150772</v>
      </c>
      <c r="H23" s="34">
        <f>G23*(1+H8)</f>
        <v>165849.20000000001</v>
      </c>
      <c r="I23" s="35">
        <f>H23*(1+I8)</f>
        <v>182434.12000000002</v>
      </c>
      <c r="J23" s="35">
        <f>I23*(1+J8)</f>
        <v>200677.53200000004</v>
      </c>
      <c r="K23" s="35">
        <f>J23*(1+K8)</f>
        <v>220745.28520000007</v>
      </c>
      <c r="L23" s="35">
        <f>K23*(1+L8)</f>
        <v>242819.81372000009</v>
      </c>
      <c r="M23" s="35">
        <f>L23*(1+M8)</f>
        <v>267101.7950920001</v>
      </c>
      <c r="N23" s="35">
        <f>M23*(1+N8)</f>
        <v>293811.97460120014</v>
      </c>
      <c r="O23" s="35">
        <f>N23*(1+O8)</f>
        <v>323193.17206132016</v>
      </c>
    </row>
    <row r="24" spans="1:15" ht="15.75" outlineLevel="1" thickBot="1" x14ac:dyDescent="0.3">
      <c r="A24" s="9" t="s">
        <v>7</v>
      </c>
      <c r="C24" s="39">
        <v>-39023</v>
      </c>
      <c r="D24" s="39">
        <v>-48004</v>
      </c>
      <c r="E24" s="37">
        <v>-49123</v>
      </c>
      <c r="F24" s="39">
        <v>-53254</v>
      </c>
      <c r="G24" s="39">
        <v>-57310</v>
      </c>
      <c r="H24" s="34">
        <f>-H23*(1-H9)</f>
        <v>-63022.696000000004</v>
      </c>
      <c r="I24" s="35">
        <f>-I23*(1-I9)</f>
        <v>-69324.96560000001</v>
      </c>
      <c r="J24" s="36">
        <f>-J23*(1-J9)</f>
        <v>-76257.46216000001</v>
      </c>
      <c r="K24" s="36">
        <f>-K23*(1-K9)</f>
        <v>-83883.208376000024</v>
      </c>
      <c r="L24" s="36">
        <f>-L23*(1-L9)</f>
        <v>-92271.529213600035</v>
      </c>
      <c r="M24" s="36">
        <f>-M23*(1-M9)</f>
        <v>-101498.68213496004</v>
      </c>
      <c r="N24" s="35">
        <f>-N23*(1-N9)</f>
        <v>-111648.55034845606</v>
      </c>
      <c r="O24" s="36">
        <f>-O23*(1-O9)</f>
        <v>-122813.40538330167</v>
      </c>
    </row>
    <row r="25" spans="1:15" ht="16.5" outlineLevel="1" thickTop="1" thickBot="1" x14ac:dyDescent="0.3">
      <c r="A25" s="10" t="s">
        <v>8</v>
      </c>
      <c r="C25" s="33">
        <v>62984</v>
      </c>
      <c r="D25" s="33">
        <v>70082</v>
      </c>
      <c r="E25" s="42">
        <v>82222</v>
      </c>
      <c r="F25" s="33">
        <v>89087</v>
      </c>
      <c r="G25" s="43">
        <v>93462</v>
      </c>
      <c r="H25" s="40">
        <f>H23+H24</f>
        <v>102826.50400000002</v>
      </c>
      <c r="I25" s="40">
        <f t="shared" ref="I25:O25" si="1">I23+I24</f>
        <v>113109.15440000001</v>
      </c>
      <c r="J25" s="41">
        <f t="shared" si="1"/>
        <v>124420.06984000003</v>
      </c>
      <c r="K25" s="41">
        <f t="shared" si="1"/>
        <v>136862.07682400005</v>
      </c>
      <c r="L25" s="41">
        <f t="shared" si="1"/>
        <v>150548.28450640006</v>
      </c>
      <c r="M25" s="41">
        <f t="shared" si="1"/>
        <v>165603.11295704008</v>
      </c>
      <c r="N25" s="40">
        <f t="shared" si="1"/>
        <v>182163.42425274407</v>
      </c>
      <c r="O25" s="41">
        <f t="shared" si="1"/>
        <v>200379.7666780185</v>
      </c>
    </row>
    <row r="26" spans="1:15" ht="15.75" outlineLevel="1" thickBot="1" x14ac:dyDescent="0.3">
      <c r="A26" s="7"/>
      <c r="C26" s="14"/>
      <c r="D26" s="14"/>
      <c r="E26" s="14"/>
      <c r="F26" s="14"/>
      <c r="G26" s="14"/>
      <c r="H26" s="13"/>
      <c r="I26" s="13"/>
      <c r="J26" s="13"/>
      <c r="K26" s="13"/>
      <c r="L26" s="13"/>
      <c r="M26" s="13"/>
      <c r="N26" s="13"/>
      <c r="O26" s="13"/>
    </row>
    <row r="27" spans="1:15" ht="15.75" outlineLevel="1" thickBot="1" x14ac:dyDescent="0.3">
      <c r="A27" s="7" t="s">
        <v>9</v>
      </c>
      <c r="C27" s="12">
        <v>-37390</v>
      </c>
      <c r="D27" s="12">
        <v>-32783</v>
      </c>
      <c r="E27" s="12">
        <v>-33959</v>
      </c>
      <c r="F27" s="12">
        <v>-34022</v>
      </c>
      <c r="G27" s="12">
        <v>-36657</v>
      </c>
      <c r="H27" s="13">
        <f>-H23*H10</f>
        <v>-33169.840000000004</v>
      </c>
      <c r="I27" s="13">
        <f>-I23*I10</f>
        <v>-36486.824000000008</v>
      </c>
      <c r="J27" s="13">
        <f>-J23*J10</f>
        <v>-40135.506400000013</v>
      </c>
      <c r="K27" s="13">
        <f>-K23*K10</f>
        <v>-44149.057040000014</v>
      </c>
      <c r="L27" s="13">
        <f>-L23*L10</f>
        <v>-48563.962744000019</v>
      </c>
      <c r="M27" s="13">
        <f>-M23*M10</f>
        <v>-53420.35901840002</v>
      </c>
      <c r="N27" s="13">
        <f>-N23*N10</f>
        <v>-58762.394920240033</v>
      </c>
      <c r="O27" s="13">
        <f>-O23*O10</f>
        <v>-64638.634412264037</v>
      </c>
    </row>
    <row r="28" spans="1:15" ht="15.75" outlineLevel="1" thickBot="1" x14ac:dyDescent="0.3">
      <c r="A28" s="7" t="s">
        <v>10</v>
      </c>
      <c r="C28" s="12">
        <v>-19500</v>
      </c>
      <c r="D28" s="12">
        <v>-18150</v>
      </c>
      <c r="E28" s="12">
        <v>-17205</v>
      </c>
      <c r="F28" s="12">
        <v>-16543.5</v>
      </c>
      <c r="G28" s="12">
        <v>-16080.45</v>
      </c>
      <c r="H28" s="13">
        <f>-H23*H11</f>
        <v>-16584.920000000002</v>
      </c>
      <c r="I28" s="13">
        <f>-I23*I11</f>
        <v>-18243.412000000004</v>
      </c>
      <c r="J28" s="13">
        <f>-J23*J11</f>
        <v>-20067.753200000006</v>
      </c>
      <c r="K28" s="13">
        <f>-K23*K11</f>
        <v>-22074.528520000007</v>
      </c>
      <c r="L28" s="13">
        <f>-L23*L11</f>
        <v>-24281.981372000009</v>
      </c>
      <c r="M28" s="13">
        <f>-M23*M11</f>
        <v>-26710.17950920001</v>
      </c>
      <c r="N28" s="13">
        <f>-N23*N11</f>
        <v>-29381.197460120016</v>
      </c>
      <c r="O28" s="13">
        <f>-O23*O11</f>
        <v>-32319.317206132018</v>
      </c>
    </row>
    <row r="29" spans="1:15" ht="17.25" customHeight="1" outlineLevel="1" thickBot="1" x14ac:dyDescent="0.3">
      <c r="A29" s="9" t="s">
        <v>11</v>
      </c>
      <c r="C29" s="37">
        <v>-2500</v>
      </c>
      <c r="D29" s="37">
        <v>-2500</v>
      </c>
      <c r="E29" s="37">
        <v>-1500</v>
      </c>
      <c r="F29" s="37">
        <v>-900</v>
      </c>
      <c r="G29" s="39">
        <v>-900</v>
      </c>
      <c r="H29" s="13">
        <f>-H20*H12</f>
        <v>-900</v>
      </c>
      <c r="I29" s="13">
        <f>-I20*I12</f>
        <v>-900</v>
      </c>
      <c r="J29" s="13">
        <f>-J20*J12</f>
        <v>-900</v>
      </c>
      <c r="K29" s="13">
        <f>-K20*K12</f>
        <v>-900</v>
      </c>
      <c r="L29" s="13">
        <f>-L20*L12</f>
        <v>-900</v>
      </c>
      <c r="M29" s="13">
        <f>-M20*M12</f>
        <v>-900</v>
      </c>
      <c r="N29" s="13">
        <f>-N20*N12</f>
        <v>-900</v>
      </c>
      <c r="O29" s="13">
        <f>-O20*O12</f>
        <v>-900</v>
      </c>
    </row>
    <row r="30" spans="1:15" ht="16.5" outlineLevel="1" thickTop="1" thickBot="1" x14ac:dyDescent="0.3">
      <c r="A30" s="7" t="s">
        <v>12</v>
      </c>
      <c r="C30" s="38">
        <f>SUM(C25:C29)</f>
        <v>3594</v>
      </c>
      <c r="D30" s="38">
        <f t="shared" ref="D30:O30" si="2">SUM(D25:D29)</f>
        <v>16649</v>
      </c>
      <c r="E30" s="38">
        <f t="shared" si="2"/>
        <v>29558</v>
      </c>
      <c r="F30" s="38">
        <f t="shared" si="2"/>
        <v>37621.5</v>
      </c>
      <c r="G30" s="38">
        <f t="shared" si="2"/>
        <v>39824.550000000003</v>
      </c>
      <c r="H30" s="38">
        <f t="shared" si="2"/>
        <v>52171.744000000021</v>
      </c>
      <c r="I30" s="38">
        <f t="shared" si="2"/>
        <v>57478.918400000002</v>
      </c>
      <c r="J30" s="38">
        <f t="shared" si="2"/>
        <v>63316.810240000006</v>
      </c>
      <c r="K30" s="38">
        <f t="shared" si="2"/>
        <v>69738.491264000026</v>
      </c>
      <c r="L30" s="38">
        <f t="shared" si="2"/>
        <v>76802.34039040003</v>
      </c>
      <c r="M30" s="38">
        <f t="shared" si="2"/>
        <v>84572.57442944005</v>
      </c>
      <c r="N30" s="38">
        <f t="shared" si="2"/>
        <v>93119.831872384006</v>
      </c>
      <c r="O30" s="38">
        <f t="shared" si="2"/>
        <v>102521.81505962243</v>
      </c>
    </row>
    <row r="31" spans="1:15" outlineLevel="1" x14ac:dyDescent="0.25">
      <c r="A31" s="44" t="s">
        <v>13</v>
      </c>
      <c r="C31" s="37">
        <v>-1120.17</v>
      </c>
      <c r="D31" s="37">
        <v>-4858.22</v>
      </c>
      <c r="E31" s="37">
        <v>-8482.81</v>
      </c>
      <c r="F31" s="37">
        <v>-10908.02</v>
      </c>
      <c r="G31" s="37">
        <v>-11597.67</v>
      </c>
      <c r="H31" s="13">
        <f>-H30*H13</f>
        <v>-15651.523200000005</v>
      </c>
      <c r="I31" s="13">
        <f>-I30*I13</f>
        <v>-17243.675520000001</v>
      </c>
      <c r="J31" s="13">
        <f>-J30*J13</f>
        <v>-18995.043072</v>
      </c>
      <c r="K31" s="13">
        <f>-K30*K13</f>
        <v>-20921.547379200008</v>
      </c>
      <c r="L31" s="13">
        <f>-L30*L13</f>
        <v>-23040.702117120007</v>
      </c>
      <c r="M31" s="13">
        <f>-M30*M13</f>
        <v>-25371.772328832016</v>
      </c>
      <c r="N31" s="13">
        <f>-N30*N13</f>
        <v>-27935.949561715202</v>
      </c>
      <c r="O31" s="13">
        <f>-O30*O13</f>
        <v>-30756.544517886727</v>
      </c>
    </row>
    <row r="32" spans="1:15" ht="15.75" outlineLevel="1" thickBot="1" x14ac:dyDescent="0.3">
      <c r="A32" s="45" t="s">
        <v>14</v>
      </c>
      <c r="B32" s="46"/>
      <c r="C32" s="47">
        <f>SUM(C30:C31)</f>
        <v>2473.83</v>
      </c>
      <c r="D32" s="47">
        <f t="shared" ref="D32:O32" si="3">SUM(D30:D31)</f>
        <v>11790.779999999999</v>
      </c>
      <c r="E32" s="47">
        <f t="shared" si="3"/>
        <v>21075.190000000002</v>
      </c>
      <c r="F32" s="47">
        <f t="shared" si="3"/>
        <v>26713.48</v>
      </c>
      <c r="G32" s="47">
        <f t="shared" si="3"/>
        <v>28226.880000000005</v>
      </c>
      <c r="H32" s="47">
        <f t="shared" si="3"/>
        <v>36520.220800000017</v>
      </c>
      <c r="I32" s="47">
        <f t="shared" si="3"/>
        <v>40235.242880000005</v>
      </c>
      <c r="J32" s="47">
        <f t="shared" si="3"/>
        <v>44321.767168000006</v>
      </c>
      <c r="K32" s="47">
        <f t="shared" si="3"/>
        <v>48816.943884800014</v>
      </c>
      <c r="L32" s="47">
        <f t="shared" si="3"/>
        <v>53761.638273280027</v>
      </c>
      <c r="M32" s="47">
        <f t="shared" si="3"/>
        <v>59200.802100608038</v>
      </c>
      <c r="N32" s="47">
        <f t="shared" si="3"/>
        <v>65183.882310668807</v>
      </c>
      <c r="O32" s="47">
        <f t="shared" si="3"/>
        <v>71765.270541735707</v>
      </c>
    </row>
    <row r="33" spans="1:15" x14ac:dyDescent="0.25">
      <c r="A33" s="24" t="s">
        <v>4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</row>
    <row r="34" spans="1:15" ht="0.95" customHeight="1" thickBot="1" x14ac:dyDescent="0.3">
      <c r="A34" s="5"/>
    </row>
    <row r="35" spans="1:15" ht="15.75" outlineLevel="1" thickBot="1" x14ac:dyDescent="0.3">
      <c r="A35" s="10" t="s">
        <v>15</v>
      </c>
      <c r="C35" s="7"/>
      <c r="D35" s="7"/>
      <c r="E35" s="7"/>
      <c r="F35" s="7"/>
      <c r="G35" s="7"/>
    </row>
    <row r="36" spans="1:15" ht="16.5" outlineLevel="1" thickBot="1" x14ac:dyDescent="0.3">
      <c r="A36" s="16" t="s">
        <v>16</v>
      </c>
      <c r="D36" s="7"/>
      <c r="E36" s="7"/>
      <c r="F36" s="7"/>
      <c r="G36" s="7"/>
    </row>
    <row r="37" spans="1:15" ht="15.75" outlineLevel="1" thickBot="1" x14ac:dyDescent="0.3">
      <c r="A37" s="17" t="s">
        <v>17</v>
      </c>
      <c r="C37" s="23">
        <v>45500</v>
      </c>
      <c r="D37" s="23">
        <v>42350</v>
      </c>
      <c r="E37" s="23">
        <v>40145</v>
      </c>
      <c r="F37" s="23">
        <v>38601.5</v>
      </c>
      <c r="G37" s="23">
        <v>37521.050000000003</v>
      </c>
      <c r="H37" s="52">
        <f>H84</f>
        <v>41462.300000000003</v>
      </c>
      <c r="I37" s="52">
        <f t="shared" ref="I37:O37" si="4">I84</f>
        <v>45608.530000000006</v>
      </c>
      <c r="J37" s="52">
        <f t="shared" si="4"/>
        <v>50169.383000000009</v>
      </c>
      <c r="K37" s="52">
        <f t="shared" si="4"/>
        <v>55186.321300000018</v>
      </c>
      <c r="L37" s="52">
        <f t="shared" si="4"/>
        <v>60704.953430000023</v>
      </c>
      <c r="M37" s="52">
        <f t="shared" si="4"/>
        <v>66775.448773000026</v>
      </c>
      <c r="N37" s="52">
        <f t="shared" si="4"/>
        <v>73452.993650300035</v>
      </c>
      <c r="O37" s="52">
        <f t="shared" si="4"/>
        <v>80798.29301533004</v>
      </c>
    </row>
    <row r="38" spans="1:15" ht="16.5" outlineLevel="1" thickBot="1" x14ac:dyDescent="0.3">
      <c r="A38" s="16" t="s">
        <v>18</v>
      </c>
      <c r="C38" s="20"/>
      <c r="D38" s="20"/>
      <c r="E38" s="20"/>
      <c r="F38" s="20"/>
      <c r="G38" s="20"/>
      <c r="H38" s="19"/>
      <c r="I38" s="19"/>
      <c r="J38" s="19"/>
      <c r="K38" s="19"/>
      <c r="L38" s="19"/>
      <c r="M38" s="19"/>
      <c r="N38" s="19"/>
      <c r="O38" s="19"/>
    </row>
    <row r="39" spans="1:15" ht="15.75" outlineLevel="1" thickBot="1" x14ac:dyDescent="0.3">
      <c r="A39" s="17" t="s">
        <v>19</v>
      </c>
      <c r="C39" s="22">
        <v>167971.18</v>
      </c>
      <c r="D39" s="22">
        <v>181209.91</v>
      </c>
      <c r="E39" s="22">
        <v>183715.26</v>
      </c>
      <c r="F39" s="22">
        <v>211069.34</v>
      </c>
      <c r="G39" s="22">
        <v>239549.52</v>
      </c>
      <c r="H39" s="19">
        <f>H77</f>
        <v>270943.76900273975</v>
      </c>
      <c r="I39" s="19">
        <f t="shared" ref="I39:O39" si="5">I77</f>
        <v>305593.30170301371</v>
      </c>
      <c r="J39" s="19">
        <f t="shared" si="5"/>
        <v>343770.78767331509</v>
      </c>
      <c r="K39" s="19">
        <f t="shared" si="5"/>
        <v>385829.02224064659</v>
      </c>
      <c r="L39" s="19">
        <f t="shared" si="5"/>
        <v>432156.08026471129</v>
      </c>
      <c r="M39" s="19">
        <f t="shared" si="5"/>
        <v>483178.84409118246</v>
      </c>
      <c r="N39" s="19">
        <f t="shared" si="5"/>
        <v>539366.88430030074</v>
      </c>
      <c r="O39" s="19">
        <f t="shared" si="5"/>
        <v>601236.72853033082</v>
      </c>
    </row>
    <row r="40" spans="1:15" ht="15.75" outlineLevel="1" thickBot="1" x14ac:dyDescent="0.3">
      <c r="A40" s="17" t="s">
        <v>20</v>
      </c>
      <c r="C40" s="23">
        <v>5100.3500000000004</v>
      </c>
      <c r="D40" s="23">
        <v>5904.3</v>
      </c>
      <c r="E40" s="23">
        <v>6567.25</v>
      </c>
      <c r="F40" s="23">
        <v>7117.05</v>
      </c>
      <c r="G40" s="23">
        <v>7538.6</v>
      </c>
      <c r="H40" s="19">
        <f>H17*H23/H3</f>
        <v>8178.8646575342473</v>
      </c>
      <c r="I40" s="19">
        <f>I17*I23/I3</f>
        <v>8996.7511232876732</v>
      </c>
      <c r="J40" s="19">
        <f>J17*J23/J3</f>
        <v>9896.42623561644</v>
      </c>
      <c r="K40" s="19">
        <f>K17*K23/K3</f>
        <v>10886.068859178085</v>
      </c>
      <c r="L40" s="19">
        <f>L17*L23/L3</f>
        <v>11974.675745095894</v>
      </c>
      <c r="M40" s="19">
        <f>M17*M23/M3</f>
        <v>13172.143319605484</v>
      </c>
      <c r="N40" s="19">
        <f>N17*N23/N3</f>
        <v>14489.357651566035</v>
      </c>
      <c r="O40" s="19">
        <f>O17*O23/O3</f>
        <v>15938.293416722639</v>
      </c>
    </row>
    <row r="41" spans="1:15" ht="15.75" outlineLevel="1" thickBot="1" x14ac:dyDescent="0.3">
      <c r="A41" s="9" t="s">
        <v>21</v>
      </c>
      <c r="C41" s="25">
        <v>7804.6</v>
      </c>
      <c r="D41" s="25">
        <v>9600.7999999999993</v>
      </c>
      <c r="E41" s="25">
        <v>9824.6</v>
      </c>
      <c r="F41" s="25">
        <v>10530.8</v>
      </c>
      <c r="G41" s="25">
        <v>11342</v>
      </c>
      <c r="H41" s="19">
        <f>H18*-H24/H3</f>
        <v>12431.874279452057</v>
      </c>
      <c r="I41" s="19">
        <f>I18*-I24/I3</f>
        <v>13675.061707397263</v>
      </c>
      <c r="J41" s="19">
        <f>J18*-J24/J3</f>
        <v>15042.567878136988</v>
      </c>
      <c r="K41" s="19">
        <f>K18*-K24/K3</f>
        <v>16546.824665950691</v>
      </c>
      <c r="L41" s="19">
        <f>L18*-L24/L3</f>
        <v>18201.507132545761</v>
      </c>
      <c r="M41" s="19">
        <f>M18*-M24/M3</f>
        <v>20021.657845800335</v>
      </c>
      <c r="N41" s="19">
        <f>N18*-N24/N3</f>
        <v>22023.823630380371</v>
      </c>
      <c r="O41" s="19">
        <f>O18*-O24/O3</f>
        <v>24226.205993418411</v>
      </c>
    </row>
    <row r="42" spans="1:15" outlineLevel="1" x14ac:dyDescent="0.25">
      <c r="A42" s="44" t="s">
        <v>22</v>
      </c>
      <c r="C42" s="53">
        <v>180876.13</v>
      </c>
      <c r="D42" s="53">
        <v>196715.01</v>
      </c>
      <c r="E42" s="53">
        <v>200107.11</v>
      </c>
      <c r="F42" s="53">
        <v>228717.19</v>
      </c>
      <c r="G42" s="53">
        <v>258430.12</v>
      </c>
      <c r="H42" s="19">
        <f>SUM(H39:H41)</f>
        <v>291554.50793972606</v>
      </c>
      <c r="I42" s="19">
        <f t="shared" ref="I42:O42" si="6">SUM(I39:I41)</f>
        <v>328265.11453369865</v>
      </c>
      <c r="J42" s="19">
        <f t="shared" si="6"/>
        <v>368709.78178706852</v>
      </c>
      <c r="K42" s="19">
        <f t="shared" si="6"/>
        <v>413261.91576577537</v>
      </c>
      <c r="L42" s="19">
        <f t="shared" si="6"/>
        <v>462332.26314235292</v>
      </c>
      <c r="M42" s="19">
        <f t="shared" si="6"/>
        <v>516372.64525658829</v>
      </c>
      <c r="N42" s="19">
        <f t="shared" si="6"/>
        <v>575880.0655822471</v>
      </c>
      <c r="O42" s="19">
        <f t="shared" si="6"/>
        <v>641401.22794047196</v>
      </c>
    </row>
    <row r="43" spans="1:15" ht="15.75" outlineLevel="1" thickBot="1" x14ac:dyDescent="0.3">
      <c r="A43" s="55" t="s">
        <v>23</v>
      </c>
      <c r="B43" s="63"/>
      <c r="C43" s="57">
        <v>226376.13</v>
      </c>
      <c r="D43" s="57">
        <v>239065.01</v>
      </c>
      <c r="E43" s="57">
        <v>240252.11</v>
      </c>
      <c r="F43" s="57">
        <v>267318.69</v>
      </c>
      <c r="G43" s="57">
        <v>295951.17</v>
      </c>
      <c r="H43" s="58">
        <f>SUM(H42+H37)</f>
        <v>333016.80793972604</v>
      </c>
      <c r="I43" s="58">
        <f t="shared" ref="I43:O43" si="7">SUM(I42+I37)</f>
        <v>373873.64453369868</v>
      </c>
      <c r="J43" s="58">
        <f t="shared" si="7"/>
        <v>418879.16478706856</v>
      </c>
      <c r="K43" s="58">
        <f t="shared" si="7"/>
        <v>468448.23706577538</v>
      </c>
      <c r="L43" s="58">
        <f t="shared" si="7"/>
        <v>523037.21657235292</v>
      </c>
      <c r="M43" s="58">
        <f t="shared" si="7"/>
        <v>583148.09402958828</v>
      </c>
      <c r="N43" s="58">
        <f t="shared" si="7"/>
        <v>649333.05923254718</v>
      </c>
      <c r="O43" s="58">
        <f t="shared" si="7"/>
        <v>722199.52095580194</v>
      </c>
    </row>
    <row r="44" spans="1:15" ht="15.75" outlineLevel="1" thickBot="1" x14ac:dyDescent="0.3">
      <c r="A44" s="54"/>
      <c r="B44" s="59"/>
      <c r="C44" s="62"/>
      <c r="D44" s="62"/>
      <c r="E44" s="62"/>
      <c r="F44" s="62"/>
      <c r="G44" s="62"/>
      <c r="H44" s="19"/>
      <c r="I44" s="19"/>
      <c r="J44" s="19"/>
      <c r="K44" s="19"/>
      <c r="L44" s="19"/>
      <c r="M44" s="19"/>
      <c r="N44" s="19"/>
      <c r="O44" s="19"/>
    </row>
    <row r="45" spans="1:15" ht="15.75" outlineLevel="1" thickBot="1" x14ac:dyDescent="0.3">
      <c r="A45" s="18" t="s">
        <v>24</v>
      </c>
      <c r="C45" s="61"/>
      <c r="D45" s="61"/>
      <c r="E45" s="61"/>
      <c r="F45" s="61"/>
      <c r="G45" s="61"/>
      <c r="H45" s="19"/>
      <c r="I45" s="19"/>
      <c r="J45" s="19"/>
      <c r="K45" s="19"/>
      <c r="L45" s="19"/>
      <c r="M45" s="19"/>
      <c r="N45" s="19"/>
      <c r="O45" s="19"/>
    </row>
    <row r="46" spans="1:15" ht="15.75" outlineLevel="1" thickBot="1" x14ac:dyDescent="0.3">
      <c r="A46" s="17" t="s">
        <v>25</v>
      </c>
      <c r="C46" s="22">
        <v>170000</v>
      </c>
      <c r="D46" s="22">
        <v>170000</v>
      </c>
      <c r="E46" s="22">
        <v>170000</v>
      </c>
      <c r="F46" s="22">
        <v>170000</v>
      </c>
      <c r="G46" s="22">
        <v>170000</v>
      </c>
      <c r="H46" s="19">
        <f>F46</f>
        <v>170000</v>
      </c>
      <c r="I46" s="19">
        <f t="shared" ref="I46:O46" si="8">G46</f>
        <v>170000</v>
      </c>
      <c r="J46" s="19">
        <f t="shared" si="8"/>
        <v>170000</v>
      </c>
      <c r="K46" s="19">
        <f t="shared" si="8"/>
        <v>170000</v>
      </c>
      <c r="L46" s="19">
        <f t="shared" si="8"/>
        <v>170000</v>
      </c>
      <c r="M46" s="19">
        <f t="shared" si="8"/>
        <v>170000</v>
      </c>
      <c r="N46" s="19">
        <f t="shared" si="8"/>
        <v>170000</v>
      </c>
      <c r="O46" s="19">
        <f t="shared" si="8"/>
        <v>170000</v>
      </c>
    </row>
    <row r="47" spans="1:15" outlineLevel="1" x14ac:dyDescent="0.25">
      <c r="A47" s="44" t="s">
        <v>26</v>
      </c>
      <c r="C47" s="65">
        <v>2473.83</v>
      </c>
      <c r="D47" s="65">
        <v>14264.61</v>
      </c>
      <c r="E47" s="65">
        <v>35339.81</v>
      </c>
      <c r="F47" s="65">
        <v>62053.29</v>
      </c>
      <c r="G47" s="65">
        <v>90280.17</v>
      </c>
      <c r="H47" s="19">
        <f>H90</f>
        <v>126800.39080000002</v>
      </c>
      <c r="I47" s="19">
        <f t="shared" ref="I47:O47" si="9">I90</f>
        <v>167035.63368000003</v>
      </c>
      <c r="J47" s="19">
        <f t="shared" si="9"/>
        <v>211357.40084800002</v>
      </c>
      <c r="K47" s="19">
        <f t="shared" si="9"/>
        <v>260174.34473280003</v>
      </c>
      <c r="L47" s="19">
        <f t="shared" si="9"/>
        <v>313935.98300608003</v>
      </c>
      <c r="M47" s="19">
        <f t="shared" si="9"/>
        <v>373136.78510668804</v>
      </c>
      <c r="N47" s="19">
        <f t="shared" si="9"/>
        <v>438320.66741735686</v>
      </c>
      <c r="O47" s="19">
        <f t="shared" si="9"/>
        <v>510085.93795909255</v>
      </c>
    </row>
    <row r="48" spans="1:15" ht="15.75" outlineLevel="1" thickBot="1" x14ac:dyDescent="0.3">
      <c r="A48" s="45" t="s">
        <v>27</v>
      </c>
      <c r="B48" s="46"/>
      <c r="C48" s="67">
        <v>172473.83</v>
      </c>
      <c r="D48" s="67">
        <v>184264.61</v>
      </c>
      <c r="E48" s="67">
        <v>205339.81</v>
      </c>
      <c r="F48" s="67">
        <v>232053.29</v>
      </c>
      <c r="G48" s="67">
        <v>260280.17</v>
      </c>
      <c r="H48" s="64">
        <f>SUM(H46+H47)</f>
        <v>296800.39080000005</v>
      </c>
      <c r="I48" s="58">
        <f t="shared" ref="I48:O48" si="10">SUM(I46+I47)</f>
        <v>337035.63368000003</v>
      </c>
      <c r="J48" s="58">
        <f t="shared" si="10"/>
        <v>381357.40084800002</v>
      </c>
      <c r="K48" s="58">
        <f t="shared" si="10"/>
        <v>430174.34473280003</v>
      </c>
      <c r="L48" s="58">
        <f t="shared" si="10"/>
        <v>483935.98300608003</v>
      </c>
      <c r="M48" s="58">
        <f t="shared" si="10"/>
        <v>543136.78510668804</v>
      </c>
      <c r="N48" s="58">
        <f t="shared" si="10"/>
        <v>608320.66741735686</v>
      </c>
      <c r="O48" s="58">
        <f t="shared" si="10"/>
        <v>680085.93795909255</v>
      </c>
    </row>
    <row r="49" spans="1:15" ht="15.75" outlineLevel="1" thickBot="1" x14ac:dyDescent="0.3">
      <c r="A49" s="66" t="s">
        <v>28</v>
      </c>
      <c r="C49" s="61"/>
      <c r="D49" s="61"/>
      <c r="E49" s="61"/>
      <c r="F49" s="61"/>
      <c r="G49" s="61"/>
      <c r="H49" s="19"/>
      <c r="I49" s="19"/>
      <c r="J49" s="19"/>
      <c r="K49" s="19"/>
      <c r="L49" s="19"/>
      <c r="M49" s="19"/>
      <c r="N49" s="19"/>
      <c r="O49" s="19"/>
    </row>
    <row r="50" spans="1:15" ht="15.75" outlineLevel="1" thickBot="1" x14ac:dyDescent="0.3">
      <c r="A50" s="9" t="s">
        <v>29</v>
      </c>
      <c r="C50" s="22">
        <v>50000</v>
      </c>
      <c r="D50" s="22">
        <v>50000</v>
      </c>
      <c r="E50" s="22">
        <v>30000</v>
      </c>
      <c r="F50" s="22">
        <v>30000</v>
      </c>
      <c r="G50" s="22">
        <v>30000</v>
      </c>
      <c r="H50" s="19">
        <f t="shared" ref="H50:O50" si="11">H20</f>
        <v>30000</v>
      </c>
      <c r="I50" s="19">
        <f t="shared" si="11"/>
        <v>30000</v>
      </c>
      <c r="J50" s="19">
        <f t="shared" si="11"/>
        <v>30000</v>
      </c>
      <c r="K50" s="19">
        <f t="shared" si="11"/>
        <v>30000</v>
      </c>
      <c r="L50" s="19">
        <f t="shared" si="11"/>
        <v>30000</v>
      </c>
      <c r="M50" s="19">
        <f t="shared" si="11"/>
        <v>30000</v>
      </c>
      <c r="N50" s="19">
        <f t="shared" si="11"/>
        <v>30000</v>
      </c>
      <c r="O50" s="19">
        <f t="shared" si="11"/>
        <v>30000</v>
      </c>
    </row>
    <row r="51" spans="1:15" ht="16.5" outlineLevel="1" thickBot="1" x14ac:dyDescent="0.3">
      <c r="A51" s="8" t="s">
        <v>30</v>
      </c>
      <c r="C51" s="23">
        <v>50000</v>
      </c>
      <c r="D51" s="23">
        <v>50000</v>
      </c>
      <c r="E51" s="23">
        <v>30000</v>
      </c>
      <c r="F51" s="23">
        <v>30000</v>
      </c>
      <c r="G51" s="23">
        <v>30000</v>
      </c>
      <c r="H51" s="19">
        <f>H50</f>
        <v>30000</v>
      </c>
      <c r="I51" s="19">
        <f t="shared" ref="I51:O51" si="12">I50</f>
        <v>30000</v>
      </c>
      <c r="J51" s="19">
        <f t="shared" si="12"/>
        <v>30000</v>
      </c>
      <c r="K51" s="19">
        <f t="shared" si="12"/>
        <v>30000</v>
      </c>
      <c r="L51" s="19">
        <f t="shared" si="12"/>
        <v>30000</v>
      </c>
      <c r="M51" s="19">
        <f t="shared" si="12"/>
        <v>30000</v>
      </c>
      <c r="N51" s="19">
        <f t="shared" si="12"/>
        <v>30000</v>
      </c>
      <c r="O51" s="19">
        <f t="shared" si="12"/>
        <v>30000</v>
      </c>
    </row>
    <row r="52" spans="1:15" ht="15.75" outlineLevel="1" thickBot="1" x14ac:dyDescent="0.3">
      <c r="A52" s="18" t="s">
        <v>31</v>
      </c>
      <c r="C52" s="20"/>
      <c r="D52" s="20"/>
      <c r="E52" s="20"/>
      <c r="F52" s="20"/>
      <c r="G52" s="20"/>
      <c r="H52" s="19"/>
      <c r="I52" s="19"/>
      <c r="J52" s="19"/>
      <c r="K52" s="19"/>
      <c r="L52" s="19"/>
      <c r="M52" s="19"/>
      <c r="N52" s="19"/>
      <c r="O52" s="19"/>
    </row>
    <row r="53" spans="1:15" ht="15.75" outlineLevel="1" thickBot="1" x14ac:dyDescent="0.3">
      <c r="A53" s="9" t="s">
        <v>32</v>
      </c>
      <c r="C53" s="21">
        <v>3902.3</v>
      </c>
      <c r="D53" s="21">
        <v>4800.3999999999996</v>
      </c>
      <c r="E53" s="21">
        <v>4912.3</v>
      </c>
      <c r="F53" s="21">
        <v>5265.4</v>
      </c>
      <c r="G53" s="21">
        <v>5671</v>
      </c>
      <c r="H53" s="19">
        <f>H19*-H24/H3</f>
        <v>6215.9371397260284</v>
      </c>
      <c r="I53" s="19">
        <f>I19*-I24/I3</f>
        <v>6837.5308536986313</v>
      </c>
      <c r="J53" s="19">
        <f>J19*-J24/J3</f>
        <v>7521.283939068494</v>
      </c>
      <c r="K53" s="19">
        <f>K19*-K24/K3</f>
        <v>8273.4123329753456</v>
      </c>
      <c r="L53" s="19">
        <f>L19*-L24/L3</f>
        <v>9100.7535662728806</v>
      </c>
      <c r="M53" s="19">
        <f>M19*-M24/M3</f>
        <v>10010.828922900168</v>
      </c>
      <c r="N53" s="19">
        <f>N19*-N24/N3</f>
        <v>11011.911815190186</v>
      </c>
      <c r="O53" s="19">
        <f>O19*-O24/O3</f>
        <v>12113.102996709205</v>
      </c>
    </row>
    <row r="54" spans="1:15" outlineLevel="1" x14ac:dyDescent="0.25">
      <c r="A54" s="44" t="s">
        <v>33</v>
      </c>
      <c r="C54" s="53">
        <v>3902.3</v>
      </c>
      <c r="D54" s="53">
        <v>4800.3999999999996</v>
      </c>
      <c r="E54" s="53">
        <v>4912.3</v>
      </c>
      <c r="F54" s="53">
        <v>5265.4</v>
      </c>
      <c r="G54" s="53">
        <v>5671</v>
      </c>
      <c r="H54" s="32">
        <f>H53</f>
        <v>6215.9371397260284</v>
      </c>
      <c r="I54" s="32">
        <f t="shared" ref="I54:O54" si="13">I53</f>
        <v>6837.5308536986313</v>
      </c>
      <c r="J54" s="32">
        <f t="shared" si="13"/>
        <v>7521.283939068494</v>
      </c>
      <c r="K54" s="32">
        <f t="shared" si="13"/>
        <v>8273.4123329753456</v>
      </c>
      <c r="L54" s="32">
        <f t="shared" si="13"/>
        <v>9100.7535662728806</v>
      </c>
      <c r="M54" s="32">
        <f t="shared" si="13"/>
        <v>10010.828922900168</v>
      </c>
      <c r="N54" s="32">
        <f t="shared" si="13"/>
        <v>11011.911815190186</v>
      </c>
      <c r="O54" s="32">
        <f t="shared" si="13"/>
        <v>12113.102996709205</v>
      </c>
    </row>
    <row r="55" spans="1:15" outlineLevel="1" x14ac:dyDescent="0.25">
      <c r="A55" s="68" t="s">
        <v>34</v>
      </c>
      <c r="B55" s="69"/>
      <c r="C55" s="60">
        <v>53902.3</v>
      </c>
      <c r="D55" s="60">
        <v>54800.4</v>
      </c>
      <c r="E55" s="60">
        <v>34912.300000000003</v>
      </c>
      <c r="F55" s="60">
        <v>35265.4</v>
      </c>
      <c r="G55" s="60">
        <v>35671</v>
      </c>
      <c r="H55" s="70">
        <f>SUM(H50+H54)</f>
        <v>36215.937139726026</v>
      </c>
      <c r="I55" s="70">
        <f t="shared" ref="I55:O55" si="14">SUM(I50+I54)</f>
        <v>36837.530853698634</v>
      </c>
      <c r="J55" s="70">
        <f t="shared" si="14"/>
        <v>37521.283939068497</v>
      </c>
      <c r="K55" s="70">
        <f t="shared" si="14"/>
        <v>38273.412332975349</v>
      </c>
      <c r="L55" s="70">
        <f t="shared" si="14"/>
        <v>39100.753566272877</v>
      </c>
      <c r="M55" s="70">
        <f t="shared" si="14"/>
        <v>40010.828922900168</v>
      </c>
      <c r="N55" s="70">
        <f t="shared" si="14"/>
        <v>41011.911815190186</v>
      </c>
      <c r="O55" s="70">
        <f t="shared" si="14"/>
        <v>42113.102996709204</v>
      </c>
    </row>
    <row r="56" spans="1:15" ht="30.75" outlineLevel="1" thickBot="1" x14ac:dyDescent="0.3">
      <c r="A56" s="55" t="s">
        <v>35</v>
      </c>
      <c r="B56" s="56"/>
      <c r="C56" s="71">
        <v>226376.13</v>
      </c>
      <c r="D56" s="71">
        <v>239065.01</v>
      </c>
      <c r="E56" s="71">
        <v>240252.11</v>
      </c>
      <c r="F56" s="71">
        <v>267318.69</v>
      </c>
      <c r="G56" s="71">
        <v>295951.17</v>
      </c>
      <c r="H56" s="58">
        <f>SUM(H48+H55)</f>
        <v>333016.32793972606</v>
      </c>
      <c r="I56" s="58">
        <f t="shared" ref="I56:O56" si="15">SUM(I48+I55)</f>
        <v>373873.16453369864</v>
      </c>
      <c r="J56" s="58">
        <f t="shared" si="15"/>
        <v>418878.68478706852</v>
      </c>
      <c r="K56" s="58">
        <f t="shared" si="15"/>
        <v>468447.7570657754</v>
      </c>
      <c r="L56" s="58">
        <f t="shared" si="15"/>
        <v>523036.73657235294</v>
      </c>
      <c r="M56" s="58">
        <f t="shared" si="15"/>
        <v>583147.61402958818</v>
      </c>
      <c r="N56" s="58">
        <f t="shared" si="15"/>
        <v>649332.57923254708</v>
      </c>
      <c r="O56" s="58">
        <f t="shared" si="15"/>
        <v>722199.04095580173</v>
      </c>
    </row>
    <row r="57" spans="1:15" x14ac:dyDescent="0.25">
      <c r="A57" s="24" t="s">
        <v>5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</row>
    <row r="58" spans="1:15" ht="2.1" customHeight="1" thickBot="1" x14ac:dyDescent="0.3"/>
    <row r="59" spans="1:15" ht="15.75" outlineLevel="1" thickBot="1" x14ac:dyDescent="0.3">
      <c r="A59" s="10" t="s">
        <v>36</v>
      </c>
      <c r="C59" s="20"/>
      <c r="D59" s="20"/>
      <c r="E59" s="20"/>
      <c r="F59" s="20"/>
      <c r="G59" s="20"/>
    </row>
    <row r="60" spans="1:15" ht="15.75" outlineLevel="1" thickBot="1" x14ac:dyDescent="0.3">
      <c r="A60" s="17" t="s">
        <v>14</v>
      </c>
      <c r="C60" s="21">
        <v>2474</v>
      </c>
      <c r="D60" s="21">
        <v>11791</v>
      </c>
      <c r="E60" s="21">
        <v>21075</v>
      </c>
      <c r="F60" s="21">
        <v>26713</v>
      </c>
      <c r="G60" s="21">
        <v>28227</v>
      </c>
      <c r="H60" s="50">
        <f t="shared" ref="H60:O60" si="16">H32</f>
        <v>36520.220800000017</v>
      </c>
      <c r="I60" s="50">
        <f t="shared" si="16"/>
        <v>40235.242880000005</v>
      </c>
      <c r="J60" s="50">
        <f t="shared" si="16"/>
        <v>44321.767168000006</v>
      </c>
      <c r="K60" s="50">
        <f t="shared" si="16"/>
        <v>48816.943884800014</v>
      </c>
      <c r="L60" s="50">
        <f t="shared" si="16"/>
        <v>53761.638273280027</v>
      </c>
      <c r="M60" s="50">
        <f t="shared" si="16"/>
        <v>59200.802100608038</v>
      </c>
      <c r="N60" s="50">
        <f t="shared" si="16"/>
        <v>65183.882310668807</v>
      </c>
      <c r="O60" s="50">
        <f t="shared" si="16"/>
        <v>71765.270541735707</v>
      </c>
    </row>
    <row r="61" spans="1:15" ht="15.75" outlineLevel="1" thickBot="1" x14ac:dyDescent="0.3">
      <c r="A61" s="17" t="s">
        <v>37</v>
      </c>
      <c r="C61" s="20"/>
      <c r="D61" s="20"/>
      <c r="E61" s="20"/>
      <c r="F61" s="20"/>
      <c r="G61" s="20"/>
    </row>
    <row r="62" spans="1:15" ht="15.75" outlineLevel="1" thickBot="1" x14ac:dyDescent="0.3">
      <c r="A62" s="17" t="s">
        <v>10</v>
      </c>
      <c r="C62" s="21">
        <v>19500</v>
      </c>
      <c r="D62" s="21">
        <v>18150</v>
      </c>
      <c r="E62" s="21">
        <v>17205</v>
      </c>
      <c r="F62" s="21">
        <v>16544</v>
      </c>
      <c r="G62" s="21">
        <v>16080</v>
      </c>
      <c r="H62" s="50">
        <f t="shared" ref="H62:O62" si="17">-H28</f>
        <v>16584.920000000002</v>
      </c>
      <c r="I62" s="50">
        <f t="shared" si="17"/>
        <v>18243.412000000004</v>
      </c>
      <c r="J62" s="50">
        <f t="shared" si="17"/>
        <v>20067.753200000006</v>
      </c>
      <c r="K62" s="50">
        <f t="shared" si="17"/>
        <v>22074.528520000007</v>
      </c>
      <c r="L62" s="50">
        <f t="shared" si="17"/>
        <v>24281.981372000009</v>
      </c>
      <c r="M62" s="50">
        <f t="shared" si="17"/>
        <v>26710.17950920001</v>
      </c>
      <c r="N62" s="50">
        <f t="shared" si="17"/>
        <v>29381.197460120016</v>
      </c>
      <c r="O62" s="50">
        <f t="shared" si="17"/>
        <v>32319.317206132018</v>
      </c>
    </row>
    <row r="63" spans="1:15" ht="30" outlineLevel="1" x14ac:dyDescent="0.25">
      <c r="A63" s="44" t="s">
        <v>38</v>
      </c>
      <c r="C63" s="53">
        <v>-9003</v>
      </c>
      <c r="D63" s="53">
        <v>-1702</v>
      </c>
      <c r="E63" s="53">
        <v>-775</v>
      </c>
      <c r="F63" s="53">
        <v>-903</v>
      </c>
      <c r="G63" s="53">
        <v>-827</v>
      </c>
      <c r="H63" s="49">
        <f>H96</f>
        <v>-1185.2017972602753</v>
      </c>
      <c r="I63" s="49">
        <f t="shared" ref="I63:O63" si="18">I96</f>
        <v>-1439.4801797260288</v>
      </c>
      <c r="J63" s="49">
        <f t="shared" si="18"/>
        <v>-1583.4281976986294</v>
      </c>
      <c r="K63" s="49">
        <f t="shared" si="18"/>
        <v>-1741.7710174684971</v>
      </c>
      <c r="L63" s="49">
        <f t="shared" si="18"/>
        <v>-1915.9481192153435</v>
      </c>
      <c r="M63" s="49">
        <f t="shared" si="18"/>
        <v>-2107.5429311368771</v>
      </c>
      <c r="N63" s="49">
        <f t="shared" si="18"/>
        <v>-2318.2972242505693</v>
      </c>
      <c r="O63" s="49">
        <f t="shared" si="18"/>
        <v>-2550.1269466756239</v>
      </c>
    </row>
    <row r="64" spans="1:15" ht="30.75" outlineLevel="1" thickBot="1" x14ac:dyDescent="0.3">
      <c r="A64" s="45" t="s">
        <v>39</v>
      </c>
      <c r="B64" s="46"/>
      <c r="C64" s="67">
        <v>12971</v>
      </c>
      <c r="D64" s="67">
        <v>28239</v>
      </c>
      <c r="E64" s="67">
        <v>37505</v>
      </c>
      <c r="F64" s="67">
        <v>42354</v>
      </c>
      <c r="G64" s="67">
        <v>43480</v>
      </c>
      <c r="H64" s="77">
        <f>SUM(H60+H62+H63)</f>
        <v>51919.939002739746</v>
      </c>
      <c r="I64" s="78">
        <f t="shared" ref="I64:O64" si="19">SUM(I60+I62+I63)</f>
        <v>57039.174700273979</v>
      </c>
      <c r="J64" s="78">
        <f t="shared" si="19"/>
        <v>62806.092170301381</v>
      </c>
      <c r="K64" s="78">
        <f t="shared" si="19"/>
        <v>69149.70138733153</v>
      </c>
      <c r="L64" s="78">
        <f t="shared" si="19"/>
        <v>76127.671526064689</v>
      </c>
      <c r="M64" s="78">
        <f t="shared" si="19"/>
        <v>83803.438678671169</v>
      </c>
      <c r="N64" s="78">
        <f t="shared" si="19"/>
        <v>92246.782546538263</v>
      </c>
      <c r="O64" s="78">
        <f t="shared" si="19"/>
        <v>101534.46080119211</v>
      </c>
    </row>
    <row r="65" spans="1:15" ht="15.75" outlineLevel="1" thickBot="1" x14ac:dyDescent="0.3">
      <c r="A65" s="54"/>
      <c r="C65" s="61"/>
      <c r="D65" s="61"/>
      <c r="E65" s="61"/>
      <c r="F65" s="61"/>
      <c r="G65" s="61"/>
    </row>
    <row r="66" spans="1:15" ht="15.75" outlineLevel="1" thickBot="1" x14ac:dyDescent="0.3">
      <c r="A66" s="10" t="s">
        <v>40</v>
      </c>
      <c r="C66" s="20"/>
      <c r="D66" s="20"/>
      <c r="E66" s="20"/>
      <c r="F66" s="20"/>
      <c r="G66" s="20"/>
    </row>
    <row r="67" spans="1:15" outlineLevel="1" x14ac:dyDescent="0.25">
      <c r="A67" s="44" t="s">
        <v>41</v>
      </c>
      <c r="C67" s="53">
        <v>-15000</v>
      </c>
      <c r="D67" s="53">
        <v>-15000</v>
      </c>
      <c r="E67" s="53">
        <v>-15000</v>
      </c>
      <c r="F67" s="53">
        <v>-15000</v>
      </c>
      <c r="G67" s="53">
        <v>-15000</v>
      </c>
      <c r="H67" s="49">
        <f>-H82</f>
        <v>-20526.169999999998</v>
      </c>
      <c r="I67" s="49">
        <f t="shared" ref="I67:O67" si="20">-I82</f>
        <v>-22389.642000000007</v>
      </c>
      <c r="J67" s="49">
        <f t="shared" si="20"/>
        <v>-24628.606200000002</v>
      </c>
      <c r="K67" s="49">
        <f t="shared" si="20"/>
        <v>-27091.466820000023</v>
      </c>
      <c r="L67" s="49">
        <f t="shared" si="20"/>
        <v>-29800.613502000015</v>
      </c>
      <c r="M67" s="49">
        <f t="shared" si="20"/>
        <v>-32780.674852200013</v>
      </c>
      <c r="N67" s="49">
        <f t="shared" si="20"/>
        <v>-36058.74233742003</v>
      </c>
      <c r="O67" s="49">
        <f t="shared" si="20"/>
        <v>-39664.616571162027</v>
      </c>
    </row>
    <row r="68" spans="1:15" ht="15.75" outlineLevel="1" thickBot="1" x14ac:dyDescent="0.3">
      <c r="A68" s="55" t="s">
        <v>42</v>
      </c>
      <c r="B68" s="56"/>
      <c r="C68" s="71">
        <v>-15000</v>
      </c>
      <c r="D68" s="71">
        <v>-15000</v>
      </c>
      <c r="E68" s="71">
        <v>-15000</v>
      </c>
      <c r="F68" s="71">
        <v>-15000</v>
      </c>
      <c r="G68" s="71">
        <v>-15000</v>
      </c>
      <c r="H68" s="75">
        <f>H67</f>
        <v>-20526.169999999998</v>
      </c>
      <c r="I68" s="75">
        <f t="shared" ref="I68:O68" si="21">I67</f>
        <v>-22389.642000000007</v>
      </c>
      <c r="J68" s="75">
        <f t="shared" si="21"/>
        <v>-24628.606200000002</v>
      </c>
      <c r="K68" s="75">
        <f t="shared" si="21"/>
        <v>-27091.466820000023</v>
      </c>
      <c r="L68" s="75">
        <f t="shared" si="21"/>
        <v>-29800.613502000015</v>
      </c>
      <c r="M68" s="75">
        <f t="shared" si="21"/>
        <v>-32780.674852200013</v>
      </c>
      <c r="N68" s="75">
        <f t="shared" si="21"/>
        <v>-36058.74233742003</v>
      </c>
      <c r="O68" s="75">
        <f t="shared" si="21"/>
        <v>-39664.616571162027</v>
      </c>
    </row>
    <row r="69" spans="1:15" ht="15.75" outlineLevel="1" thickBot="1" x14ac:dyDescent="0.3">
      <c r="A69" s="54"/>
      <c r="C69" s="61"/>
      <c r="D69" s="61"/>
      <c r="E69" s="61"/>
      <c r="F69" s="61"/>
      <c r="G69" s="61"/>
    </row>
    <row r="70" spans="1:15" ht="15.75" outlineLevel="1" thickBot="1" x14ac:dyDescent="0.3">
      <c r="A70" s="10" t="s">
        <v>43</v>
      </c>
      <c r="C70" s="20"/>
      <c r="D70" s="20"/>
      <c r="E70" s="20"/>
      <c r="F70" s="20"/>
      <c r="G70" s="20"/>
    </row>
    <row r="71" spans="1:15" ht="15.75" outlineLevel="1" thickBot="1" x14ac:dyDescent="0.3">
      <c r="A71" s="17" t="s">
        <v>44</v>
      </c>
      <c r="C71" s="21">
        <v>0</v>
      </c>
      <c r="D71" s="21">
        <v>0</v>
      </c>
      <c r="E71" s="21">
        <v>-20000</v>
      </c>
      <c r="F71" s="21">
        <v>0</v>
      </c>
      <c r="G71" s="21">
        <v>0</v>
      </c>
      <c r="H71" s="74">
        <v>0</v>
      </c>
      <c r="I71" s="74">
        <v>0</v>
      </c>
      <c r="J71" s="74">
        <v>0</v>
      </c>
      <c r="K71" s="74">
        <v>0</v>
      </c>
      <c r="L71" s="74">
        <v>0</v>
      </c>
      <c r="M71" s="74">
        <v>0</v>
      </c>
      <c r="N71" s="74">
        <v>0</v>
      </c>
      <c r="O71" s="74">
        <v>0</v>
      </c>
    </row>
    <row r="72" spans="1:15" outlineLevel="1" x14ac:dyDescent="0.25">
      <c r="A72" s="44" t="s">
        <v>45</v>
      </c>
      <c r="C72" s="53">
        <v>170000</v>
      </c>
      <c r="D72" s="53">
        <v>0</v>
      </c>
      <c r="E72" s="53">
        <v>0</v>
      </c>
      <c r="F72" s="53">
        <v>0</v>
      </c>
      <c r="G72" s="53">
        <v>0</v>
      </c>
      <c r="H72" s="74">
        <v>0</v>
      </c>
      <c r="I72" s="74">
        <v>0</v>
      </c>
      <c r="J72" s="74">
        <v>0</v>
      </c>
      <c r="K72" s="74">
        <v>0</v>
      </c>
      <c r="L72" s="74">
        <v>0</v>
      </c>
      <c r="M72" s="74">
        <v>0</v>
      </c>
      <c r="N72" s="74">
        <v>0</v>
      </c>
      <c r="O72" s="74">
        <v>0</v>
      </c>
    </row>
    <row r="73" spans="1:15" ht="30.75" outlineLevel="1" thickBot="1" x14ac:dyDescent="0.3">
      <c r="A73" s="55" t="s">
        <v>46</v>
      </c>
      <c r="B73" s="56"/>
      <c r="C73" s="71">
        <v>170000</v>
      </c>
      <c r="D73" s="71">
        <v>0</v>
      </c>
      <c r="E73" s="71">
        <v>-20000</v>
      </c>
      <c r="F73" s="71">
        <v>0</v>
      </c>
      <c r="G73" s="71">
        <v>0</v>
      </c>
      <c r="H73" s="71">
        <v>0</v>
      </c>
      <c r="I73" s="71">
        <v>0</v>
      </c>
      <c r="J73" s="71">
        <v>0</v>
      </c>
      <c r="K73" s="71">
        <v>0</v>
      </c>
      <c r="L73" s="71">
        <v>0</v>
      </c>
      <c r="M73" s="71">
        <v>0</v>
      </c>
      <c r="N73" s="71">
        <v>0</v>
      </c>
      <c r="O73" s="71">
        <v>0</v>
      </c>
    </row>
    <row r="74" spans="1:15" ht="15.75" outlineLevel="1" thickBot="1" x14ac:dyDescent="0.3">
      <c r="A74" s="54"/>
      <c r="C74" s="61"/>
      <c r="D74" s="61"/>
      <c r="E74" s="61"/>
      <c r="F74" s="61"/>
      <c r="G74" s="61"/>
    </row>
    <row r="75" spans="1:15" ht="15.75" outlineLevel="1" thickBot="1" x14ac:dyDescent="0.3">
      <c r="A75" s="72" t="s">
        <v>47</v>
      </c>
      <c r="B75" s="48"/>
      <c r="C75" s="73">
        <v>167971</v>
      </c>
      <c r="D75" s="73">
        <v>13239</v>
      </c>
      <c r="E75" s="73">
        <v>2505</v>
      </c>
      <c r="F75" s="73">
        <v>27354</v>
      </c>
      <c r="G75" s="73">
        <v>28480</v>
      </c>
      <c r="H75" s="51">
        <f>SUM(H73+H68+H64)</f>
        <v>31393.769002739748</v>
      </c>
      <c r="I75" s="51">
        <f t="shared" ref="I75:O75" si="22">SUM(I73+I68+I64)</f>
        <v>34649.532700273972</v>
      </c>
      <c r="J75" s="51">
        <f t="shared" si="22"/>
        <v>38177.485970301379</v>
      </c>
      <c r="K75" s="51">
        <f t="shared" si="22"/>
        <v>42058.234567331507</v>
      </c>
      <c r="L75" s="51">
        <f t="shared" si="22"/>
        <v>46327.058024064674</v>
      </c>
      <c r="M75" s="51">
        <f t="shared" si="22"/>
        <v>51022.763826471157</v>
      </c>
      <c r="N75" s="51">
        <f t="shared" si="22"/>
        <v>56188.040209118233</v>
      </c>
      <c r="O75" s="51">
        <f t="shared" si="22"/>
        <v>61869.844230030081</v>
      </c>
    </row>
    <row r="76" spans="1:15" outlineLevel="1" x14ac:dyDescent="0.25">
      <c r="A76" s="44" t="s">
        <v>48</v>
      </c>
      <c r="C76" s="53">
        <v>0</v>
      </c>
      <c r="D76" s="53">
        <v>167971</v>
      </c>
      <c r="E76" s="53">
        <v>181210</v>
      </c>
      <c r="F76" s="53">
        <v>183715</v>
      </c>
      <c r="G76" s="53">
        <v>211069</v>
      </c>
      <c r="H76" s="49">
        <f>G77</f>
        <v>239550</v>
      </c>
      <c r="I76" s="49">
        <f t="shared" ref="I76:O76" si="23">H77</f>
        <v>270943.76900273975</v>
      </c>
      <c r="J76" s="49">
        <f t="shared" si="23"/>
        <v>305593.30170301371</v>
      </c>
      <c r="K76" s="49">
        <f t="shared" si="23"/>
        <v>343770.78767331509</v>
      </c>
      <c r="L76" s="49">
        <f t="shared" si="23"/>
        <v>385829.02224064659</v>
      </c>
      <c r="M76" s="49">
        <f t="shared" si="23"/>
        <v>432156.08026471129</v>
      </c>
      <c r="N76" s="49">
        <f t="shared" si="23"/>
        <v>483178.84409118246</v>
      </c>
      <c r="O76" s="49">
        <f t="shared" si="23"/>
        <v>539366.88430030074</v>
      </c>
    </row>
    <row r="77" spans="1:15" ht="15.75" outlineLevel="1" thickBot="1" x14ac:dyDescent="0.3">
      <c r="A77" s="55" t="s">
        <v>49</v>
      </c>
      <c r="B77" s="56"/>
      <c r="C77" s="71">
        <v>167971</v>
      </c>
      <c r="D77" s="71">
        <v>181210</v>
      </c>
      <c r="E77" s="71">
        <v>183715</v>
      </c>
      <c r="F77" s="71">
        <v>211069</v>
      </c>
      <c r="G77" s="71">
        <v>239550</v>
      </c>
      <c r="H77" s="75">
        <f>SUM(H75+H76)</f>
        <v>270943.76900273975</v>
      </c>
      <c r="I77" s="75">
        <f t="shared" ref="I77:O77" si="24">SUM(I75+I76)</f>
        <v>305593.30170301371</v>
      </c>
      <c r="J77" s="75">
        <f t="shared" si="24"/>
        <v>343770.78767331509</v>
      </c>
      <c r="K77" s="75">
        <f t="shared" si="24"/>
        <v>385829.02224064659</v>
      </c>
      <c r="L77" s="75">
        <f t="shared" si="24"/>
        <v>432156.08026471129</v>
      </c>
      <c r="M77" s="75">
        <f t="shared" si="24"/>
        <v>483178.84409118246</v>
      </c>
      <c r="N77" s="75">
        <f t="shared" si="24"/>
        <v>539366.88430030074</v>
      </c>
      <c r="O77" s="75">
        <f t="shared" si="24"/>
        <v>601236.72853033082</v>
      </c>
    </row>
    <row r="78" spans="1:15" x14ac:dyDescent="0.25">
      <c r="A78" s="24" t="s">
        <v>63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</row>
    <row r="80" spans="1:15" outlineLevel="1" x14ac:dyDescent="0.25">
      <c r="A80" s="48" t="s">
        <v>64</v>
      </c>
    </row>
    <row r="81" spans="1:15" outlineLevel="1" x14ac:dyDescent="0.25">
      <c r="A81" t="s">
        <v>65</v>
      </c>
      <c r="C81" s="49">
        <f>C84+C83-C82</f>
        <v>50000</v>
      </c>
      <c r="D81" s="49">
        <f t="shared" ref="D81:G81" si="25">D84+D83-D82</f>
        <v>45500</v>
      </c>
      <c r="E81" s="49">
        <f t="shared" si="25"/>
        <v>42350</v>
      </c>
      <c r="F81" s="49">
        <f t="shared" si="25"/>
        <v>40145</v>
      </c>
      <c r="G81" s="49">
        <f t="shared" si="25"/>
        <v>38601.5</v>
      </c>
      <c r="H81" s="49">
        <f>G84</f>
        <v>37521.050000000003</v>
      </c>
      <c r="I81" s="49">
        <f t="shared" ref="I81:O81" si="26">H84</f>
        <v>41462.300000000003</v>
      </c>
      <c r="J81" s="49">
        <f t="shared" si="26"/>
        <v>45608.530000000006</v>
      </c>
      <c r="K81" s="49">
        <f t="shared" si="26"/>
        <v>50169.383000000009</v>
      </c>
      <c r="L81" s="49">
        <f t="shared" si="26"/>
        <v>55186.321300000018</v>
      </c>
      <c r="M81" s="49">
        <f t="shared" si="26"/>
        <v>60704.953430000023</v>
      </c>
      <c r="N81" s="49">
        <f t="shared" si="26"/>
        <v>66775.448773000026</v>
      </c>
      <c r="O81" s="49">
        <f t="shared" si="26"/>
        <v>73452.993650300035</v>
      </c>
    </row>
    <row r="82" spans="1:15" outlineLevel="1" x14ac:dyDescent="0.25">
      <c r="A82" t="s">
        <v>66</v>
      </c>
      <c r="C82" s="49">
        <f>-C67</f>
        <v>15000</v>
      </c>
      <c r="D82" s="49">
        <f>-D67</f>
        <v>15000</v>
      </c>
      <c r="E82" s="49">
        <f>-E67</f>
        <v>15000</v>
      </c>
      <c r="F82" s="49">
        <f>-F67</f>
        <v>15000</v>
      </c>
      <c r="G82" s="49">
        <f>-G67</f>
        <v>15000</v>
      </c>
      <c r="H82" s="52">
        <f>H84+H83-H81</f>
        <v>20526.169999999998</v>
      </c>
      <c r="I82" s="52">
        <f t="shared" ref="I82:O82" si="27">I84+I83-I81</f>
        <v>22389.642000000007</v>
      </c>
      <c r="J82" s="52">
        <f t="shared" si="27"/>
        <v>24628.606200000002</v>
      </c>
      <c r="K82" s="52">
        <f t="shared" si="27"/>
        <v>27091.466820000023</v>
      </c>
      <c r="L82" s="52">
        <f t="shared" si="27"/>
        <v>29800.613502000015</v>
      </c>
      <c r="M82" s="52">
        <f t="shared" si="27"/>
        <v>32780.674852200013</v>
      </c>
      <c r="N82" s="52">
        <f t="shared" si="27"/>
        <v>36058.74233742003</v>
      </c>
      <c r="O82" s="52">
        <f t="shared" si="27"/>
        <v>39664.616571162027</v>
      </c>
    </row>
    <row r="83" spans="1:15" outlineLevel="1" x14ac:dyDescent="0.25">
      <c r="A83" t="s">
        <v>67</v>
      </c>
      <c r="C83" s="50">
        <f t="shared" ref="C83:O83" si="28">-C28</f>
        <v>19500</v>
      </c>
      <c r="D83" s="50">
        <f t="shared" si="28"/>
        <v>18150</v>
      </c>
      <c r="E83" s="50">
        <f t="shared" si="28"/>
        <v>17205</v>
      </c>
      <c r="F83" s="50">
        <f t="shared" si="28"/>
        <v>16543.5</v>
      </c>
      <c r="G83" s="50">
        <f t="shared" si="28"/>
        <v>16080.45</v>
      </c>
      <c r="H83" s="50">
        <f t="shared" si="28"/>
        <v>16584.920000000002</v>
      </c>
      <c r="I83" s="50">
        <f t="shared" si="28"/>
        <v>18243.412000000004</v>
      </c>
      <c r="J83" s="50">
        <f t="shared" si="28"/>
        <v>20067.753200000006</v>
      </c>
      <c r="K83" s="50">
        <f t="shared" si="28"/>
        <v>22074.528520000007</v>
      </c>
      <c r="L83" s="50">
        <f t="shared" si="28"/>
        <v>24281.981372000009</v>
      </c>
      <c r="M83" s="50">
        <f t="shared" si="28"/>
        <v>26710.17950920001</v>
      </c>
      <c r="N83" s="50">
        <f t="shared" si="28"/>
        <v>29381.197460120016</v>
      </c>
      <c r="O83" s="50">
        <f t="shared" si="28"/>
        <v>32319.317206132018</v>
      </c>
    </row>
    <row r="84" spans="1:15" ht="15.75" outlineLevel="1" thickBot="1" x14ac:dyDescent="0.3">
      <c r="A84" s="56" t="s">
        <v>68</v>
      </c>
      <c r="B84" s="46"/>
      <c r="C84" s="75">
        <f>C37</f>
        <v>45500</v>
      </c>
      <c r="D84" s="75">
        <f>D37</f>
        <v>42350</v>
      </c>
      <c r="E84" s="75">
        <f>E37</f>
        <v>40145</v>
      </c>
      <c r="F84" s="75">
        <f>F37</f>
        <v>38601.5</v>
      </c>
      <c r="G84" s="75">
        <f>G37</f>
        <v>37521.050000000003</v>
      </c>
      <c r="H84" s="76">
        <f t="shared" ref="H84:O84" si="29">H23/H16</f>
        <v>41462.300000000003</v>
      </c>
      <c r="I84" s="76">
        <f t="shared" si="29"/>
        <v>45608.530000000006</v>
      </c>
      <c r="J84" s="76">
        <f t="shared" si="29"/>
        <v>50169.383000000009</v>
      </c>
      <c r="K84" s="76">
        <f t="shared" si="29"/>
        <v>55186.321300000018</v>
      </c>
      <c r="L84" s="76">
        <f t="shared" si="29"/>
        <v>60704.953430000023</v>
      </c>
      <c r="M84" s="76">
        <f t="shared" si="29"/>
        <v>66775.448773000026</v>
      </c>
      <c r="N84" s="76">
        <f t="shared" si="29"/>
        <v>73452.993650300035</v>
      </c>
      <c r="O84" s="76">
        <f t="shared" si="29"/>
        <v>80798.29301533004</v>
      </c>
    </row>
    <row r="85" spans="1:15" outlineLevel="1" x14ac:dyDescent="0.25"/>
    <row r="86" spans="1:15" outlineLevel="1" x14ac:dyDescent="0.25">
      <c r="A86" s="48" t="s">
        <v>69</v>
      </c>
    </row>
    <row r="87" spans="1:15" outlineLevel="1" x14ac:dyDescent="0.25">
      <c r="A87" t="s">
        <v>73</v>
      </c>
      <c r="C87" s="49">
        <f>C90-C88</f>
        <v>0</v>
      </c>
      <c r="D87" s="49">
        <f t="shared" ref="D87:G87" si="30">D90-D88</f>
        <v>2473.8300000000017</v>
      </c>
      <c r="E87" s="49">
        <f t="shared" si="30"/>
        <v>14264.619999999995</v>
      </c>
      <c r="F87" s="49">
        <f t="shared" si="30"/>
        <v>35339.81</v>
      </c>
      <c r="G87" s="49">
        <f t="shared" si="30"/>
        <v>62053.289999999994</v>
      </c>
      <c r="H87" s="49">
        <f>G90</f>
        <v>90280.17</v>
      </c>
      <c r="I87" s="49">
        <f>H90</f>
        <v>126800.39080000002</v>
      </c>
      <c r="J87" s="49">
        <f t="shared" ref="J87:O87" si="31">I90</f>
        <v>167035.63368000003</v>
      </c>
      <c r="K87" s="49">
        <f t="shared" si="31"/>
        <v>211357.40084800002</v>
      </c>
      <c r="L87" s="49">
        <f t="shared" si="31"/>
        <v>260174.34473280003</v>
      </c>
      <c r="M87" s="49">
        <f t="shared" si="31"/>
        <v>313935.98300608003</v>
      </c>
      <c r="N87" s="49">
        <f t="shared" si="31"/>
        <v>373136.78510668804</v>
      </c>
      <c r="O87" s="49">
        <f t="shared" si="31"/>
        <v>438320.66741735686</v>
      </c>
    </row>
    <row r="88" spans="1:15" outlineLevel="1" x14ac:dyDescent="0.25">
      <c r="A88" t="s">
        <v>70</v>
      </c>
      <c r="C88" s="50">
        <f t="shared" ref="C88:O88" si="32">C32</f>
        <v>2473.83</v>
      </c>
      <c r="D88" s="50">
        <f t="shared" si="32"/>
        <v>11790.779999999999</v>
      </c>
      <c r="E88" s="50">
        <f t="shared" si="32"/>
        <v>21075.190000000002</v>
      </c>
      <c r="F88" s="50">
        <f t="shared" si="32"/>
        <v>26713.48</v>
      </c>
      <c r="G88" s="50">
        <f t="shared" si="32"/>
        <v>28226.880000000005</v>
      </c>
      <c r="H88" s="50">
        <f t="shared" si="32"/>
        <v>36520.220800000017</v>
      </c>
      <c r="I88" s="50">
        <f t="shared" si="32"/>
        <v>40235.242880000005</v>
      </c>
      <c r="J88" s="50">
        <f t="shared" si="32"/>
        <v>44321.767168000006</v>
      </c>
      <c r="K88" s="50">
        <f t="shared" si="32"/>
        <v>48816.943884800014</v>
      </c>
      <c r="L88" s="50">
        <f t="shared" si="32"/>
        <v>53761.638273280027</v>
      </c>
      <c r="M88" s="50">
        <f t="shared" si="32"/>
        <v>59200.802100608038</v>
      </c>
      <c r="N88" s="50">
        <f t="shared" si="32"/>
        <v>65183.882310668807</v>
      </c>
      <c r="O88" s="50">
        <f t="shared" si="32"/>
        <v>71765.270541735707</v>
      </c>
    </row>
    <row r="89" spans="1:15" outlineLevel="1" x14ac:dyDescent="0.25">
      <c r="A89" t="s">
        <v>71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ht="15.75" outlineLevel="1" thickBot="1" x14ac:dyDescent="0.3">
      <c r="A90" s="56" t="s">
        <v>72</v>
      </c>
      <c r="B90" s="46"/>
      <c r="C90" s="75">
        <f>C47</f>
        <v>2473.83</v>
      </c>
      <c r="D90" s="75">
        <f>D47</f>
        <v>14264.61</v>
      </c>
      <c r="E90" s="75">
        <f>E47</f>
        <v>35339.81</v>
      </c>
      <c r="F90" s="75">
        <f>F47</f>
        <v>62053.29</v>
      </c>
      <c r="G90" s="75">
        <f>G47</f>
        <v>90280.17</v>
      </c>
      <c r="H90" s="75">
        <f>H87+H88</f>
        <v>126800.39080000002</v>
      </c>
      <c r="I90" s="75">
        <f>I87+I88</f>
        <v>167035.63368000003</v>
      </c>
      <c r="J90" s="75">
        <f t="shared" ref="J90:O90" si="33">J87+J88</f>
        <v>211357.40084800002</v>
      </c>
      <c r="K90" s="75">
        <f t="shared" si="33"/>
        <v>260174.34473280003</v>
      </c>
      <c r="L90" s="75">
        <f t="shared" si="33"/>
        <v>313935.98300608003</v>
      </c>
      <c r="M90" s="75">
        <f t="shared" si="33"/>
        <v>373136.78510668804</v>
      </c>
      <c r="N90" s="75">
        <f t="shared" si="33"/>
        <v>438320.66741735686</v>
      </c>
      <c r="O90" s="75">
        <f t="shared" si="33"/>
        <v>510085.93795909255</v>
      </c>
    </row>
    <row r="91" spans="1:15" outlineLevel="1" x14ac:dyDescent="0.25"/>
    <row r="92" spans="1:15" outlineLevel="1" x14ac:dyDescent="0.25">
      <c r="A92" s="48" t="s">
        <v>74</v>
      </c>
    </row>
    <row r="93" spans="1:15" outlineLevel="1" x14ac:dyDescent="0.25">
      <c r="A93" t="s">
        <v>20</v>
      </c>
      <c r="C93" s="49">
        <f>-C40-0</f>
        <v>-5100.3500000000004</v>
      </c>
      <c r="D93" s="49">
        <f t="shared" ref="D93:O93" si="34">-(D40-C40)</f>
        <v>-803.94999999999982</v>
      </c>
      <c r="E93" s="49">
        <f t="shared" si="34"/>
        <v>-662.94999999999982</v>
      </c>
      <c r="F93" s="49">
        <f t="shared" si="34"/>
        <v>-549.80000000000018</v>
      </c>
      <c r="G93" s="49">
        <f t="shared" si="34"/>
        <v>-421.55000000000018</v>
      </c>
      <c r="H93" s="49">
        <f t="shared" si="34"/>
        <v>-640.26465753424691</v>
      </c>
      <c r="I93" s="49">
        <f t="shared" si="34"/>
        <v>-817.88646575342591</v>
      </c>
      <c r="J93" s="49">
        <f t="shared" si="34"/>
        <v>-899.67511232876677</v>
      </c>
      <c r="K93" s="49">
        <f t="shared" si="34"/>
        <v>-989.64262356164545</v>
      </c>
      <c r="L93" s="49">
        <f t="shared" si="34"/>
        <v>-1088.6068859178085</v>
      </c>
      <c r="M93" s="49">
        <f t="shared" si="34"/>
        <v>-1197.4675745095901</v>
      </c>
      <c r="N93" s="49">
        <f t="shared" si="34"/>
        <v>-1317.2143319605511</v>
      </c>
      <c r="O93" s="49">
        <f t="shared" si="34"/>
        <v>-1448.9357651566042</v>
      </c>
    </row>
    <row r="94" spans="1:15" outlineLevel="1" x14ac:dyDescent="0.25">
      <c r="A94" t="s">
        <v>32</v>
      </c>
      <c r="C94" s="49">
        <f>(C53-0)</f>
        <v>3902.3</v>
      </c>
      <c r="D94" s="49">
        <f t="shared" ref="D94:O94" si="35">D53-C53</f>
        <v>898.09999999999945</v>
      </c>
      <c r="E94" s="49">
        <f t="shared" si="35"/>
        <v>111.90000000000055</v>
      </c>
      <c r="F94" s="49">
        <f t="shared" si="35"/>
        <v>353.09999999999945</v>
      </c>
      <c r="G94" s="49">
        <f t="shared" si="35"/>
        <v>405.60000000000036</v>
      </c>
      <c r="H94" s="49">
        <f t="shared" si="35"/>
        <v>544.93713972602836</v>
      </c>
      <c r="I94" s="49">
        <f t="shared" si="35"/>
        <v>621.59371397260293</v>
      </c>
      <c r="J94" s="49">
        <f t="shared" si="35"/>
        <v>683.75308536986267</v>
      </c>
      <c r="K94" s="49">
        <f t="shared" si="35"/>
        <v>752.12839390685167</v>
      </c>
      <c r="L94" s="49">
        <f t="shared" si="35"/>
        <v>827.34123329753493</v>
      </c>
      <c r="M94" s="49">
        <f t="shared" si="35"/>
        <v>910.07535662728696</v>
      </c>
      <c r="N94" s="49">
        <f t="shared" si="35"/>
        <v>1001.0828922900182</v>
      </c>
      <c r="O94" s="49">
        <f t="shared" si="35"/>
        <v>1101.1911815190197</v>
      </c>
    </row>
    <row r="95" spans="1:15" outlineLevel="1" x14ac:dyDescent="0.25">
      <c r="A95" t="s">
        <v>75</v>
      </c>
      <c r="C95" s="49">
        <f>-C41-0</f>
        <v>-7804.6</v>
      </c>
      <c r="D95" s="49">
        <f t="shared" ref="D95:O95" si="36">-(D41-C41)</f>
        <v>-1796.1999999999989</v>
      </c>
      <c r="E95" s="49">
        <f t="shared" si="36"/>
        <v>-223.80000000000109</v>
      </c>
      <c r="F95" s="49">
        <f t="shared" si="36"/>
        <v>-706.19999999999891</v>
      </c>
      <c r="G95" s="49">
        <f t="shared" si="36"/>
        <v>-811.20000000000073</v>
      </c>
      <c r="H95" s="49">
        <f t="shared" si="36"/>
        <v>-1089.8742794520567</v>
      </c>
      <c r="I95" s="49">
        <f t="shared" si="36"/>
        <v>-1243.1874279452059</v>
      </c>
      <c r="J95" s="49">
        <f t="shared" si="36"/>
        <v>-1367.5061707397253</v>
      </c>
      <c r="K95" s="49">
        <f t="shared" si="36"/>
        <v>-1504.2567878137033</v>
      </c>
      <c r="L95" s="49">
        <f t="shared" si="36"/>
        <v>-1654.6824665950699</v>
      </c>
      <c r="M95" s="49">
        <f t="shared" si="36"/>
        <v>-1820.1507132545739</v>
      </c>
      <c r="N95" s="49">
        <f t="shared" si="36"/>
        <v>-2002.1657845800364</v>
      </c>
      <c r="O95" s="49">
        <f t="shared" si="36"/>
        <v>-2202.3823630380393</v>
      </c>
    </row>
    <row r="96" spans="1:15" ht="15.75" outlineLevel="1" thickBot="1" x14ac:dyDescent="0.3">
      <c r="A96" s="56" t="s">
        <v>76</v>
      </c>
      <c r="B96" s="56"/>
      <c r="C96" s="75">
        <f>SUM(C93:C95)</f>
        <v>-9002.6500000000015</v>
      </c>
      <c r="D96" s="75">
        <f t="shared" ref="D96:O96" si="37">SUM(D93:D95)</f>
        <v>-1702.0499999999993</v>
      </c>
      <c r="E96" s="75">
        <f t="shared" si="37"/>
        <v>-774.85000000000036</v>
      </c>
      <c r="F96" s="75">
        <f t="shared" si="37"/>
        <v>-902.89999999999964</v>
      </c>
      <c r="G96" s="75">
        <f t="shared" si="37"/>
        <v>-827.15000000000055</v>
      </c>
      <c r="H96" s="75">
        <f t="shared" si="37"/>
        <v>-1185.2017972602753</v>
      </c>
      <c r="I96" s="75">
        <f t="shared" si="37"/>
        <v>-1439.4801797260288</v>
      </c>
      <c r="J96" s="75">
        <f t="shared" si="37"/>
        <v>-1583.4281976986294</v>
      </c>
      <c r="K96" s="75">
        <f t="shared" si="37"/>
        <v>-1741.7710174684971</v>
      </c>
      <c r="L96" s="75">
        <f t="shared" si="37"/>
        <v>-1915.9481192153435</v>
      </c>
      <c r="M96" s="75">
        <f t="shared" si="37"/>
        <v>-2107.5429311368771</v>
      </c>
      <c r="N96" s="75">
        <f t="shared" si="37"/>
        <v>-2318.2972242505693</v>
      </c>
      <c r="O96" s="75">
        <f t="shared" si="37"/>
        <v>-2550.1269466756239</v>
      </c>
    </row>
  </sheetData>
  <mergeCells count="1">
    <mergeCell ref="A1:O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E2521-48BD-4DC0-B0F2-F9F013E55051}">
  <dimension ref="A1:J11"/>
  <sheetViews>
    <sheetView workbookViewId="0">
      <selection activeCell="D18" sqref="D18"/>
    </sheetView>
  </sheetViews>
  <sheetFormatPr defaultRowHeight="15" x14ac:dyDescent="0.25"/>
  <cols>
    <col min="1" max="1" width="18.85546875" customWidth="1"/>
    <col min="2" max="2" width="20.28515625" customWidth="1"/>
    <col min="3" max="3" width="24.28515625" customWidth="1"/>
    <col min="4" max="4" width="38" customWidth="1"/>
    <col min="5" max="5" width="31.140625" customWidth="1"/>
    <col min="6" max="6" width="21" customWidth="1"/>
  </cols>
  <sheetData>
    <row r="1" spans="1:10" x14ac:dyDescent="0.25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78</v>
      </c>
    </row>
    <row r="2" spans="1:10" x14ac:dyDescent="0.25">
      <c r="A2" s="91">
        <v>0.158</v>
      </c>
      <c r="B2" s="92">
        <v>0.62</v>
      </c>
      <c r="C2" s="92">
        <v>0.37</v>
      </c>
      <c r="D2" s="92">
        <v>0.19</v>
      </c>
      <c r="E2" s="92">
        <v>0.05</v>
      </c>
      <c r="F2" s="92">
        <v>0.31</v>
      </c>
      <c r="G2" s="93">
        <v>2019</v>
      </c>
      <c r="H2" s="80"/>
      <c r="I2" s="80"/>
      <c r="J2" s="80"/>
    </row>
    <row r="3" spans="1:10" x14ac:dyDescent="0.25">
      <c r="A3" s="91">
        <v>0.112</v>
      </c>
      <c r="B3" s="92">
        <v>0.59</v>
      </c>
      <c r="C3" s="92">
        <v>0.28000000000000003</v>
      </c>
      <c r="D3" s="92">
        <v>0.15</v>
      </c>
      <c r="E3" s="92">
        <v>0.05</v>
      </c>
      <c r="F3" s="92">
        <v>0.28999999999999998</v>
      </c>
      <c r="G3" s="93">
        <v>2020</v>
      </c>
      <c r="H3" s="81"/>
      <c r="I3" s="81"/>
      <c r="J3" s="81"/>
    </row>
    <row r="4" spans="1:10" x14ac:dyDescent="0.25">
      <c r="A4" s="91">
        <v>8.4000000000000005E-2</v>
      </c>
      <c r="B4" s="92">
        <v>0.63</v>
      </c>
      <c r="C4" s="92">
        <v>0.26</v>
      </c>
      <c r="D4" s="92">
        <v>0.13</v>
      </c>
      <c r="E4" s="92">
        <v>0.05</v>
      </c>
      <c r="F4" s="92">
        <v>0.28999999999999998</v>
      </c>
      <c r="G4" s="93">
        <v>2021</v>
      </c>
      <c r="H4" s="81"/>
      <c r="I4" s="81"/>
      <c r="J4" s="81"/>
    </row>
    <row r="5" spans="1:10" x14ac:dyDescent="0.25">
      <c r="A5" s="91">
        <v>5.8999999999999997E-2</v>
      </c>
      <c r="B5" s="92">
        <v>0.63</v>
      </c>
      <c r="C5" s="92">
        <v>0.24</v>
      </c>
      <c r="D5" s="92">
        <v>0.12</v>
      </c>
      <c r="E5" s="92">
        <v>0.03</v>
      </c>
      <c r="F5" s="92">
        <v>0.28999999999999998</v>
      </c>
      <c r="G5" s="93">
        <v>2022</v>
      </c>
      <c r="H5" s="81"/>
      <c r="I5" s="81"/>
      <c r="J5" s="81"/>
    </row>
    <row r="6" spans="1:10" x14ac:dyDescent="0.25">
      <c r="A6" s="91">
        <v>0.1</v>
      </c>
      <c r="B6" s="92">
        <v>0.62</v>
      </c>
      <c r="C6" s="92">
        <v>0.24</v>
      </c>
      <c r="D6" s="92">
        <v>0.11</v>
      </c>
      <c r="E6" s="92">
        <v>0.03</v>
      </c>
      <c r="F6" s="92">
        <v>0.28999999999999998</v>
      </c>
      <c r="G6" s="93">
        <v>2023</v>
      </c>
      <c r="H6" s="81"/>
      <c r="I6" s="81"/>
      <c r="J6" s="81"/>
    </row>
    <row r="7" spans="1:10" x14ac:dyDescent="0.25">
      <c r="A7" s="91">
        <v>0.1</v>
      </c>
      <c r="B7" s="92">
        <v>0.62</v>
      </c>
      <c r="C7" s="92">
        <v>0.2</v>
      </c>
      <c r="D7" s="92">
        <v>0.1</v>
      </c>
      <c r="E7" s="92">
        <v>0.03</v>
      </c>
      <c r="F7" s="92">
        <v>0.3</v>
      </c>
      <c r="G7" s="93">
        <v>2024</v>
      </c>
      <c r="H7" s="81"/>
      <c r="I7" s="81"/>
      <c r="J7" s="81"/>
    </row>
    <row r="8" spans="1:10" x14ac:dyDescent="0.25">
      <c r="A8" s="91">
        <v>0.1</v>
      </c>
      <c r="B8" s="92">
        <v>0.62</v>
      </c>
      <c r="C8" s="92">
        <v>0.2</v>
      </c>
      <c r="D8" s="92">
        <v>0.1</v>
      </c>
      <c r="E8" s="92">
        <v>0.03</v>
      </c>
      <c r="F8" s="92">
        <v>0.3</v>
      </c>
      <c r="G8" s="93">
        <v>2025</v>
      </c>
    </row>
    <row r="9" spans="1:10" x14ac:dyDescent="0.25">
      <c r="A9" s="91">
        <v>0.1</v>
      </c>
      <c r="B9" s="92">
        <v>0.62</v>
      </c>
      <c r="C9" s="92">
        <v>0.2</v>
      </c>
      <c r="D9" s="92">
        <v>0.1</v>
      </c>
      <c r="E9" s="92">
        <v>0.03</v>
      </c>
      <c r="F9" s="92">
        <v>0.3</v>
      </c>
      <c r="G9" s="93">
        <v>2026</v>
      </c>
    </row>
    <row r="10" spans="1:10" x14ac:dyDescent="0.25">
      <c r="A10" s="91">
        <v>0.1</v>
      </c>
      <c r="B10" s="92">
        <v>0.62</v>
      </c>
      <c r="C10" s="92">
        <v>0.2</v>
      </c>
      <c r="D10" s="92">
        <v>0.1</v>
      </c>
      <c r="E10" s="92">
        <v>0.03</v>
      </c>
      <c r="F10" s="92">
        <v>0.3</v>
      </c>
      <c r="G10" s="93">
        <v>2027</v>
      </c>
    </row>
    <row r="11" spans="1:10" x14ac:dyDescent="0.25">
      <c r="B11" s="81"/>
      <c r="C11" s="81"/>
      <c r="D11" s="81"/>
      <c r="E11" s="81"/>
      <c r="F11" s="81"/>
      <c r="G11" s="8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E4164-D10D-4F5B-9EA2-F8563CBAE595}">
  <dimension ref="A1:L13"/>
  <sheetViews>
    <sheetView workbookViewId="0">
      <selection activeCell="F2" sqref="F2:F10"/>
    </sheetView>
  </sheetViews>
  <sheetFormatPr defaultRowHeight="15" x14ac:dyDescent="0.25"/>
  <cols>
    <col min="1" max="1" width="22.7109375" customWidth="1"/>
    <col min="2" max="2" width="31.28515625" customWidth="1"/>
    <col min="3" max="3" width="26.28515625" customWidth="1"/>
    <col min="4" max="4" width="24.7109375" customWidth="1"/>
    <col min="5" max="5" width="25.85546875" customWidth="1"/>
    <col min="6" max="6" width="14.5703125" customWidth="1"/>
  </cols>
  <sheetData>
    <row r="1" spans="1:12" x14ac:dyDescent="0.25">
      <c r="A1" t="s">
        <v>58</v>
      </c>
      <c r="B1" t="s">
        <v>61</v>
      </c>
      <c r="C1" t="s">
        <v>60</v>
      </c>
      <c r="D1" t="s">
        <v>59</v>
      </c>
      <c r="E1" t="s">
        <v>62</v>
      </c>
      <c r="F1" s="87" t="s">
        <v>78</v>
      </c>
      <c r="G1" s="83"/>
      <c r="H1" s="83"/>
      <c r="I1" s="83"/>
      <c r="J1" s="83"/>
      <c r="K1" s="83"/>
      <c r="L1" s="83"/>
    </row>
    <row r="2" spans="1:12" x14ac:dyDescent="0.25">
      <c r="A2" s="88">
        <v>3</v>
      </c>
      <c r="B2" s="88">
        <v>18</v>
      </c>
      <c r="C2" s="88">
        <v>73</v>
      </c>
      <c r="D2" s="88">
        <v>37</v>
      </c>
      <c r="E2" s="89">
        <v>50000</v>
      </c>
      <c r="F2" s="90">
        <v>2019</v>
      </c>
      <c r="G2" s="83"/>
      <c r="H2" s="83"/>
      <c r="I2" s="83"/>
      <c r="J2" s="83"/>
      <c r="K2" s="83"/>
      <c r="L2" s="83"/>
    </row>
    <row r="3" spans="1:12" x14ac:dyDescent="0.25">
      <c r="A3" s="88">
        <v>3</v>
      </c>
      <c r="B3" s="88">
        <v>18</v>
      </c>
      <c r="C3" s="88">
        <v>73</v>
      </c>
      <c r="D3" s="88">
        <v>37</v>
      </c>
      <c r="E3" s="89">
        <v>30000</v>
      </c>
      <c r="F3" s="90">
        <v>2020</v>
      </c>
      <c r="G3" s="83"/>
      <c r="H3" s="83"/>
      <c r="I3" s="83"/>
      <c r="J3" s="83"/>
      <c r="K3" s="83"/>
      <c r="L3" s="83"/>
    </row>
    <row r="4" spans="1:12" x14ac:dyDescent="0.25">
      <c r="A4" s="88">
        <v>4</v>
      </c>
      <c r="B4" s="88">
        <v>18</v>
      </c>
      <c r="C4" s="88">
        <v>72</v>
      </c>
      <c r="D4" s="88">
        <v>36</v>
      </c>
      <c r="E4" s="89">
        <v>30000</v>
      </c>
      <c r="F4" s="90">
        <v>2021</v>
      </c>
      <c r="G4" s="83"/>
      <c r="H4" s="83"/>
      <c r="I4" s="83"/>
      <c r="J4" s="83"/>
      <c r="K4" s="83"/>
      <c r="L4" s="83"/>
    </row>
    <row r="5" spans="1:12" x14ac:dyDescent="0.25">
      <c r="A5" s="88">
        <v>4</v>
      </c>
      <c r="B5" s="88">
        <v>18</v>
      </c>
      <c r="C5" s="88">
        <v>72</v>
      </c>
      <c r="D5" s="88">
        <v>36</v>
      </c>
      <c r="E5" s="89">
        <v>30000</v>
      </c>
      <c r="F5" s="90">
        <v>2022</v>
      </c>
      <c r="G5" s="84"/>
      <c r="H5" s="84"/>
      <c r="I5" s="84"/>
      <c r="J5" s="84"/>
      <c r="K5" s="84"/>
      <c r="L5" s="84"/>
    </row>
    <row r="6" spans="1:12" x14ac:dyDescent="0.25">
      <c r="A6" s="88">
        <v>4</v>
      </c>
      <c r="B6" s="88">
        <v>18</v>
      </c>
      <c r="C6" s="88">
        <v>72</v>
      </c>
      <c r="D6" s="88">
        <v>36</v>
      </c>
      <c r="E6" s="89">
        <v>30000</v>
      </c>
      <c r="F6" s="90">
        <v>2023</v>
      </c>
    </row>
    <row r="7" spans="1:12" x14ac:dyDescent="0.25">
      <c r="A7" s="88">
        <v>4</v>
      </c>
      <c r="B7" s="88">
        <v>18</v>
      </c>
      <c r="C7" s="88">
        <v>72</v>
      </c>
      <c r="D7" s="88">
        <v>36</v>
      </c>
      <c r="E7" s="89">
        <v>30000</v>
      </c>
      <c r="F7" s="90">
        <v>2024</v>
      </c>
    </row>
    <row r="8" spans="1:12" x14ac:dyDescent="0.25">
      <c r="A8" s="88">
        <v>4</v>
      </c>
      <c r="B8" s="88">
        <v>18</v>
      </c>
      <c r="C8" s="88">
        <v>72</v>
      </c>
      <c r="D8" s="88">
        <v>36</v>
      </c>
      <c r="E8" s="89">
        <v>30000</v>
      </c>
      <c r="F8" s="90">
        <v>2025</v>
      </c>
    </row>
    <row r="9" spans="1:12" x14ac:dyDescent="0.25">
      <c r="A9" s="88">
        <v>4</v>
      </c>
      <c r="B9" s="88">
        <v>18</v>
      </c>
      <c r="C9" s="88">
        <v>72</v>
      </c>
      <c r="D9" s="88">
        <v>36</v>
      </c>
      <c r="E9" s="89">
        <v>30000</v>
      </c>
      <c r="F9" s="90">
        <v>2026</v>
      </c>
    </row>
    <row r="10" spans="1:12" x14ac:dyDescent="0.25">
      <c r="A10" s="88">
        <v>4</v>
      </c>
      <c r="B10" s="88">
        <v>18</v>
      </c>
      <c r="C10" s="88">
        <v>72</v>
      </c>
      <c r="D10" s="88">
        <v>36</v>
      </c>
      <c r="E10" s="89">
        <v>30000</v>
      </c>
      <c r="F10" s="90">
        <v>2027</v>
      </c>
    </row>
    <row r="11" spans="1:12" x14ac:dyDescent="0.25">
      <c r="A11" s="83"/>
      <c r="B11" s="83"/>
      <c r="C11" s="83"/>
      <c r="D11" s="83"/>
      <c r="E11" s="84"/>
      <c r="F11" s="83"/>
    </row>
    <row r="12" spans="1:12" x14ac:dyDescent="0.25">
      <c r="A12" s="83"/>
      <c r="B12" s="83"/>
      <c r="C12" s="83"/>
      <c r="D12" s="83"/>
      <c r="E12" s="84"/>
      <c r="F12" s="83"/>
    </row>
    <row r="13" spans="1:12" x14ac:dyDescent="0.25">
      <c r="A13" s="83"/>
      <c r="B13" s="83"/>
      <c r="C13" s="83"/>
      <c r="D13" s="83"/>
      <c r="E13" s="84"/>
      <c r="F13" s="8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2EC35-B6A0-40C2-845A-F2C69A2735EB}">
  <dimension ref="A1:K11"/>
  <sheetViews>
    <sheetView workbookViewId="0">
      <selection activeCell="I2" sqref="I2"/>
    </sheetView>
  </sheetViews>
  <sheetFormatPr defaultRowHeight="15" x14ac:dyDescent="0.25"/>
  <cols>
    <col min="1" max="1" width="16" customWidth="1"/>
    <col min="2" max="2" width="15.28515625" customWidth="1"/>
    <col min="3" max="3" width="14.28515625" customWidth="1"/>
    <col min="4" max="4" width="11" customWidth="1"/>
    <col min="5" max="5" width="16.28515625" customWidth="1"/>
    <col min="6" max="6" width="22.42578125" customWidth="1"/>
    <col min="7" max="7" width="19" customWidth="1"/>
    <col min="8" max="8" width="28.5703125" customWidth="1"/>
    <col min="9" max="9" width="16.140625" customWidth="1"/>
    <col min="10" max="10" width="17" customWidth="1"/>
  </cols>
  <sheetData>
    <row r="1" spans="1:11" ht="18.75" customHeight="1" x14ac:dyDescent="0.25">
      <c r="A1" s="107" t="s">
        <v>6</v>
      </c>
      <c r="B1" s="108" t="s">
        <v>7</v>
      </c>
      <c r="C1" s="109" t="s">
        <v>8</v>
      </c>
      <c r="D1" s="107" t="s">
        <v>79</v>
      </c>
      <c r="E1" s="107" t="s">
        <v>9</v>
      </c>
      <c r="F1" s="107" t="s">
        <v>10</v>
      </c>
      <c r="G1" s="108" t="s">
        <v>11</v>
      </c>
      <c r="H1" s="107" t="s">
        <v>12</v>
      </c>
      <c r="I1" s="108" t="s">
        <v>13</v>
      </c>
      <c r="J1" s="109" t="s">
        <v>14</v>
      </c>
      <c r="K1" s="99" t="s">
        <v>78</v>
      </c>
    </row>
    <row r="2" spans="1:11" x14ac:dyDescent="0.25">
      <c r="A2" s="104">
        <v>102007</v>
      </c>
      <c r="B2" s="104">
        <v>-39023</v>
      </c>
      <c r="C2" s="104">
        <v>62984</v>
      </c>
      <c r="D2" s="101"/>
      <c r="E2" s="104">
        <v>-37390</v>
      </c>
      <c r="F2" s="104">
        <v>-19500</v>
      </c>
      <c r="G2" s="104">
        <v>-2500</v>
      </c>
      <c r="H2" s="104">
        <v>3594</v>
      </c>
      <c r="I2" s="104">
        <v>-1120</v>
      </c>
      <c r="J2" s="104">
        <v>2474</v>
      </c>
      <c r="K2" s="106">
        <v>2019</v>
      </c>
    </row>
    <row r="3" spans="1:11" x14ac:dyDescent="0.25">
      <c r="A3" s="104">
        <v>118086</v>
      </c>
      <c r="B3" s="104">
        <v>-48004</v>
      </c>
      <c r="C3" s="104">
        <v>70082</v>
      </c>
      <c r="D3" s="101"/>
      <c r="E3" s="104">
        <v>-32783</v>
      </c>
      <c r="F3" s="104">
        <v>-18150</v>
      </c>
      <c r="G3" s="104">
        <v>-2500</v>
      </c>
      <c r="H3" s="104">
        <v>16649</v>
      </c>
      <c r="I3" s="104">
        <v>-4858</v>
      </c>
      <c r="J3" s="104">
        <v>11791</v>
      </c>
      <c r="K3" s="99">
        <v>2020</v>
      </c>
    </row>
    <row r="4" spans="1:11" x14ac:dyDescent="0.25">
      <c r="A4" s="104">
        <v>131345</v>
      </c>
      <c r="B4" s="104">
        <v>-49123</v>
      </c>
      <c r="C4" s="104">
        <v>82222</v>
      </c>
      <c r="D4" s="101"/>
      <c r="E4" s="104">
        <v>-33959</v>
      </c>
      <c r="F4" s="104">
        <v>-17205</v>
      </c>
      <c r="G4" s="104">
        <v>-1500</v>
      </c>
      <c r="H4" s="104">
        <v>29558</v>
      </c>
      <c r="I4" s="104">
        <v>-8483</v>
      </c>
      <c r="J4" s="104">
        <v>21075</v>
      </c>
      <c r="K4" s="106">
        <v>2021</v>
      </c>
    </row>
    <row r="5" spans="1:11" x14ac:dyDescent="0.25">
      <c r="A5" s="104">
        <v>142341</v>
      </c>
      <c r="B5" s="104">
        <v>-53254</v>
      </c>
      <c r="C5" s="104">
        <v>89087</v>
      </c>
      <c r="D5" s="101"/>
      <c r="E5" s="104">
        <v>-34022</v>
      </c>
      <c r="F5" s="104">
        <v>-16544</v>
      </c>
      <c r="G5" s="105">
        <v>-900</v>
      </c>
      <c r="H5" s="104">
        <v>37622</v>
      </c>
      <c r="I5" s="104">
        <v>-10908</v>
      </c>
      <c r="J5" s="104">
        <v>26713</v>
      </c>
      <c r="K5" s="99">
        <v>2022</v>
      </c>
    </row>
    <row r="6" spans="1:11" x14ac:dyDescent="0.25">
      <c r="A6" s="104">
        <v>150772</v>
      </c>
      <c r="B6" s="104">
        <v>-57310</v>
      </c>
      <c r="C6" s="104">
        <v>93462</v>
      </c>
      <c r="D6" s="101"/>
      <c r="E6" s="104">
        <v>-36657</v>
      </c>
      <c r="F6" s="104">
        <v>-16080</v>
      </c>
      <c r="G6" s="105">
        <v>-900</v>
      </c>
      <c r="H6" s="104">
        <v>39825</v>
      </c>
      <c r="I6" s="104">
        <v>-11598</v>
      </c>
      <c r="J6" s="104">
        <v>28227</v>
      </c>
      <c r="K6" s="106">
        <v>2023</v>
      </c>
    </row>
    <row r="7" spans="1:11" x14ac:dyDescent="0.25">
      <c r="A7" s="102">
        <v>165849</v>
      </c>
      <c r="B7" s="102">
        <v>-63023</v>
      </c>
      <c r="C7" s="104">
        <v>102827</v>
      </c>
      <c r="D7" s="99"/>
      <c r="E7" s="102">
        <v>-33170</v>
      </c>
      <c r="F7" s="102">
        <v>-16585</v>
      </c>
      <c r="G7" s="103">
        <v>-900</v>
      </c>
      <c r="H7" s="104">
        <v>52172</v>
      </c>
      <c r="I7" s="102">
        <v>-15652</v>
      </c>
      <c r="J7" s="104">
        <v>36520</v>
      </c>
      <c r="K7" s="99">
        <v>2024</v>
      </c>
    </row>
    <row r="8" spans="1:11" x14ac:dyDescent="0.25">
      <c r="A8" s="102">
        <v>182434</v>
      </c>
      <c r="B8" s="102">
        <v>-69325</v>
      </c>
      <c r="C8" s="104">
        <v>113109</v>
      </c>
      <c r="D8" s="99"/>
      <c r="E8" s="102">
        <v>-36487</v>
      </c>
      <c r="F8" s="102">
        <v>-18243</v>
      </c>
      <c r="G8" s="103">
        <v>-900</v>
      </c>
      <c r="H8" s="104">
        <v>57479</v>
      </c>
      <c r="I8" s="102">
        <v>-17244</v>
      </c>
      <c r="J8" s="104">
        <v>40235</v>
      </c>
      <c r="K8" s="106">
        <v>2025</v>
      </c>
    </row>
    <row r="9" spans="1:11" x14ac:dyDescent="0.25">
      <c r="A9" s="102">
        <v>200678</v>
      </c>
      <c r="B9" s="102">
        <v>-76257</v>
      </c>
      <c r="C9" s="104">
        <v>124420</v>
      </c>
      <c r="D9" s="99"/>
      <c r="E9" s="102">
        <v>-40136</v>
      </c>
      <c r="F9" s="102">
        <v>-20068</v>
      </c>
      <c r="G9" s="103">
        <v>-900</v>
      </c>
      <c r="H9" s="104">
        <v>63317</v>
      </c>
      <c r="I9" s="102">
        <v>-18995</v>
      </c>
      <c r="J9" s="104">
        <v>44322</v>
      </c>
      <c r="K9" s="99">
        <v>2026</v>
      </c>
    </row>
    <row r="10" spans="1:11" x14ac:dyDescent="0.25">
      <c r="A10" s="102">
        <v>220745</v>
      </c>
      <c r="B10" s="102">
        <v>-83883</v>
      </c>
      <c r="C10" s="104">
        <v>136862</v>
      </c>
      <c r="D10" s="99"/>
      <c r="E10" s="102">
        <v>-44149</v>
      </c>
      <c r="F10" s="102">
        <v>-22075</v>
      </c>
      <c r="G10" s="103">
        <v>-900</v>
      </c>
      <c r="H10" s="104">
        <v>69738</v>
      </c>
      <c r="I10" s="102">
        <v>-20922</v>
      </c>
      <c r="J10" s="104">
        <v>48817</v>
      </c>
      <c r="K10" s="106">
        <v>2027</v>
      </c>
    </row>
    <row r="11" spans="1:11" x14ac:dyDescent="0.25">
      <c r="A11" s="102"/>
      <c r="B11" s="102"/>
      <c r="C11" s="104"/>
      <c r="D11" s="99"/>
      <c r="E11" s="102"/>
      <c r="F11" s="102"/>
      <c r="G11" s="103"/>
      <c r="H11" s="104"/>
      <c r="I11" s="102"/>
      <c r="J11" s="104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FB69E-000A-4DC0-BC2B-8DC3BA337646}">
  <dimension ref="A1:P32"/>
  <sheetViews>
    <sheetView workbookViewId="0">
      <selection activeCell="A12" sqref="A12"/>
    </sheetView>
  </sheetViews>
  <sheetFormatPr defaultRowHeight="15" x14ac:dyDescent="0.25"/>
  <cols>
    <col min="1" max="1" width="28.5703125" customWidth="1"/>
    <col min="2" max="2" width="24.85546875" bestFit="1" customWidth="1"/>
    <col min="3" max="3" width="21.28515625" bestFit="1" customWidth="1"/>
    <col min="4" max="4" width="13.28515625" customWidth="1"/>
    <col min="5" max="5" width="20.85546875" customWidth="1"/>
    <col min="6" max="6" width="13.7109375" customWidth="1"/>
    <col min="7" max="7" width="14.7109375" customWidth="1"/>
    <col min="8" max="8" width="19" customWidth="1"/>
    <col min="9" max="9" width="26.7109375" bestFit="1" customWidth="1"/>
    <col min="10" max="10" width="17.28515625" customWidth="1"/>
    <col min="11" max="11" width="7.5703125" customWidth="1"/>
    <col min="12" max="12" width="18.5703125" customWidth="1"/>
    <col min="13" max="13" width="23.85546875" bestFit="1" customWidth="1"/>
    <col min="14" max="14" width="16.5703125" customWidth="1"/>
    <col min="15" max="15" width="41" bestFit="1" customWidth="1"/>
  </cols>
  <sheetData>
    <row r="1" spans="1:16" ht="15" customHeight="1" x14ac:dyDescent="0.25">
      <c r="A1" s="107" t="s">
        <v>17</v>
      </c>
      <c r="B1" s="107" t="s">
        <v>19</v>
      </c>
      <c r="C1" s="107" t="s">
        <v>20</v>
      </c>
      <c r="D1" s="107" t="s">
        <v>21</v>
      </c>
      <c r="E1" s="107" t="s">
        <v>22</v>
      </c>
      <c r="F1" s="107" t="s">
        <v>23</v>
      </c>
      <c r="G1" s="107" t="s">
        <v>25</v>
      </c>
      <c r="H1" s="107" t="s">
        <v>26</v>
      </c>
      <c r="I1" s="107" t="s">
        <v>27</v>
      </c>
      <c r="J1" s="107" t="s">
        <v>29</v>
      </c>
      <c r="K1" s="107" t="s">
        <v>30</v>
      </c>
      <c r="L1" s="107" t="s">
        <v>32</v>
      </c>
      <c r="M1" s="107" t="s">
        <v>33</v>
      </c>
      <c r="N1" s="107" t="s">
        <v>34</v>
      </c>
      <c r="O1" s="107" t="s">
        <v>35</v>
      </c>
      <c r="P1" s="119" t="s">
        <v>80</v>
      </c>
    </row>
    <row r="2" spans="1:16" x14ac:dyDescent="0.25">
      <c r="A2" s="115">
        <v>45500</v>
      </c>
      <c r="B2" s="115">
        <v>167971</v>
      </c>
      <c r="C2" s="115">
        <v>5100</v>
      </c>
      <c r="D2" s="115">
        <v>7805</v>
      </c>
      <c r="E2" s="115">
        <v>180876</v>
      </c>
      <c r="F2" s="115">
        <v>226376</v>
      </c>
      <c r="G2" s="115">
        <v>170000</v>
      </c>
      <c r="H2" s="115">
        <v>2474</v>
      </c>
      <c r="I2" s="115">
        <v>172474</v>
      </c>
      <c r="J2" s="115">
        <v>50000</v>
      </c>
      <c r="K2" s="115">
        <v>50000</v>
      </c>
      <c r="L2" s="115">
        <v>3902</v>
      </c>
      <c r="M2" s="115">
        <v>3902</v>
      </c>
      <c r="N2" s="115">
        <v>53902</v>
      </c>
      <c r="O2" s="115">
        <v>226376</v>
      </c>
      <c r="P2" s="106">
        <v>2019</v>
      </c>
    </row>
    <row r="3" spans="1:16" x14ac:dyDescent="0.25">
      <c r="A3" s="115">
        <v>42350</v>
      </c>
      <c r="B3" s="115">
        <v>181210</v>
      </c>
      <c r="C3" s="115">
        <v>5904</v>
      </c>
      <c r="D3" s="115">
        <v>9601</v>
      </c>
      <c r="E3" s="115">
        <v>196715</v>
      </c>
      <c r="F3" s="115">
        <v>239065</v>
      </c>
      <c r="G3" s="115">
        <v>170000</v>
      </c>
      <c r="H3" s="115">
        <v>14265</v>
      </c>
      <c r="I3" s="115">
        <v>184265</v>
      </c>
      <c r="J3" s="115">
        <v>50000</v>
      </c>
      <c r="K3" s="115">
        <v>50000</v>
      </c>
      <c r="L3" s="115">
        <v>4800</v>
      </c>
      <c r="M3" s="115">
        <v>4800</v>
      </c>
      <c r="N3" s="115">
        <v>54800</v>
      </c>
      <c r="O3" s="115">
        <v>239065</v>
      </c>
      <c r="P3" s="99">
        <v>2020</v>
      </c>
    </row>
    <row r="4" spans="1:16" x14ac:dyDescent="0.25">
      <c r="A4" s="115">
        <v>40145</v>
      </c>
      <c r="B4" s="115">
        <v>183715</v>
      </c>
      <c r="C4" s="115">
        <v>6567</v>
      </c>
      <c r="D4" s="115">
        <v>9825</v>
      </c>
      <c r="E4" s="115">
        <v>200107</v>
      </c>
      <c r="F4" s="115">
        <v>240252</v>
      </c>
      <c r="G4" s="115">
        <v>170000</v>
      </c>
      <c r="H4" s="115">
        <v>35340</v>
      </c>
      <c r="I4" s="115">
        <v>205340</v>
      </c>
      <c r="J4" s="115">
        <v>30000</v>
      </c>
      <c r="K4" s="115">
        <v>30000</v>
      </c>
      <c r="L4" s="115">
        <v>4912</v>
      </c>
      <c r="M4" s="115">
        <v>4912</v>
      </c>
      <c r="N4" s="115">
        <v>34912</v>
      </c>
      <c r="O4" s="115">
        <v>240252</v>
      </c>
      <c r="P4" s="106">
        <v>2021</v>
      </c>
    </row>
    <row r="5" spans="1:16" x14ac:dyDescent="0.25">
      <c r="A5" s="115">
        <v>38602</v>
      </c>
      <c r="B5" s="115">
        <v>211069</v>
      </c>
      <c r="C5" s="115">
        <v>7117</v>
      </c>
      <c r="D5" s="115">
        <v>10531</v>
      </c>
      <c r="E5" s="115">
        <v>228717</v>
      </c>
      <c r="F5" s="115">
        <v>267319</v>
      </c>
      <c r="G5" s="115">
        <v>170000</v>
      </c>
      <c r="H5" s="115">
        <v>62053</v>
      </c>
      <c r="I5" s="115">
        <v>232053</v>
      </c>
      <c r="J5" s="115">
        <v>30000</v>
      </c>
      <c r="K5" s="115">
        <v>30000</v>
      </c>
      <c r="L5" s="115">
        <v>5265</v>
      </c>
      <c r="M5" s="115">
        <v>5265</v>
      </c>
      <c r="N5" s="115">
        <v>35265</v>
      </c>
      <c r="O5" s="115">
        <v>267319</v>
      </c>
      <c r="P5" s="99">
        <v>2022</v>
      </c>
    </row>
    <row r="6" spans="1:16" x14ac:dyDescent="0.25">
      <c r="A6" s="115">
        <v>37521</v>
      </c>
      <c r="B6" s="115">
        <v>239550</v>
      </c>
      <c r="C6" s="115">
        <v>7539</v>
      </c>
      <c r="D6" s="115">
        <v>11342</v>
      </c>
      <c r="E6" s="115">
        <v>258430</v>
      </c>
      <c r="F6" s="115">
        <v>295951</v>
      </c>
      <c r="G6" s="115">
        <v>170000</v>
      </c>
      <c r="H6" s="115">
        <v>90280</v>
      </c>
      <c r="I6" s="115">
        <v>260280</v>
      </c>
      <c r="J6" s="115">
        <v>30000</v>
      </c>
      <c r="K6" s="115">
        <v>30000</v>
      </c>
      <c r="L6" s="115">
        <v>5671</v>
      </c>
      <c r="M6" s="115">
        <v>5671</v>
      </c>
      <c r="N6" s="115">
        <v>35671</v>
      </c>
      <c r="O6" s="115">
        <v>295951</v>
      </c>
      <c r="P6" s="106">
        <v>2023</v>
      </c>
    </row>
    <row r="7" spans="1:16" x14ac:dyDescent="0.25">
      <c r="A7" s="113">
        <v>41462.300000000003</v>
      </c>
      <c r="B7" s="114">
        <v>270944</v>
      </c>
      <c r="C7" s="114">
        <v>8179</v>
      </c>
      <c r="D7" s="114">
        <v>12432</v>
      </c>
      <c r="E7" s="114">
        <v>291555</v>
      </c>
      <c r="F7" s="114">
        <v>333017</v>
      </c>
      <c r="G7" s="114">
        <v>170000</v>
      </c>
      <c r="H7" s="114">
        <v>126800</v>
      </c>
      <c r="I7" s="114">
        <v>296800</v>
      </c>
      <c r="J7" s="114">
        <v>30000</v>
      </c>
      <c r="K7" s="114">
        <v>30000</v>
      </c>
      <c r="L7" s="114">
        <v>6216</v>
      </c>
      <c r="M7" s="114">
        <v>6216</v>
      </c>
      <c r="N7" s="114">
        <v>36216</v>
      </c>
      <c r="O7" s="114">
        <v>333016</v>
      </c>
      <c r="P7" s="99">
        <v>2024</v>
      </c>
    </row>
    <row r="8" spans="1:16" x14ac:dyDescent="0.25">
      <c r="A8" s="113">
        <v>45608.53</v>
      </c>
      <c r="B8" s="114">
        <v>305593</v>
      </c>
      <c r="C8" s="114">
        <v>8997</v>
      </c>
      <c r="D8" s="114">
        <v>13675</v>
      </c>
      <c r="E8" s="114">
        <v>328265</v>
      </c>
      <c r="F8" s="114">
        <v>373874</v>
      </c>
      <c r="G8" s="114">
        <v>170000</v>
      </c>
      <c r="H8" s="114">
        <v>167036</v>
      </c>
      <c r="I8" s="114">
        <v>337036</v>
      </c>
      <c r="J8" s="114">
        <v>30000</v>
      </c>
      <c r="K8" s="114">
        <v>30000</v>
      </c>
      <c r="L8" s="114">
        <v>6838</v>
      </c>
      <c r="M8" s="114">
        <v>6838</v>
      </c>
      <c r="N8" s="114">
        <v>36838</v>
      </c>
      <c r="O8" s="114">
        <v>373873</v>
      </c>
      <c r="P8" s="106">
        <v>2025</v>
      </c>
    </row>
    <row r="9" spans="1:16" x14ac:dyDescent="0.25">
      <c r="A9" s="113">
        <v>50169.38</v>
      </c>
      <c r="B9" s="114">
        <v>343771</v>
      </c>
      <c r="C9" s="114">
        <v>9896</v>
      </c>
      <c r="D9" s="114">
        <v>15043</v>
      </c>
      <c r="E9" s="114">
        <v>368710</v>
      </c>
      <c r="F9" s="114">
        <v>418879</v>
      </c>
      <c r="G9" s="114">
        <v>170000</v>
      </c>
      <c r="H9" s="114">
        <v>211357</v>
      </c>
      <c r="I9" s="114">
        <v>381357</v>
      </c>
      <c r="J9" s="114">
        <v>30000</v>
      </c>
      <c r="K9" s="114">
        <v>30000</v>
      </c>
      <c r="L9" s="114">
        <v>7521</v>
      </c>
      <c r="M9" s="114">
        <v>7521</v>
      </c>
      <c r="N9" s="114">
        <v>37521</v>
      </c>
      <c r="O9" s="114">
        <v>418879</v>
      </c>
      <c r="P9" s="99">
        <v>2026</v>
      </c>
    </row>
    <row r="10" spans="1:16" x14ac:dyDescent="0.25">
      <c r="A10" s="113">
        <v>55186.32</v>
      </c>
      <c r="B10" s="114">
        <v>385829</v>
      </c>
      <c r="C10" s="114">
        <v>10886</v>
      </c>
      <c r="D10" s="114">
        <v>16547</v>
      </c>
      <c r="E10" s="114">
        <v>413262</v>
      </c>
      <c r="F10" s="114">
        <v>468448</v>
      </c>
      <c r="G10" s="114">
        <v>170000</v>
      </c>
      <c r="H10" s="114">
        <v>260174</v>
      </c>
      <c r="I10" s="114">
        <v>430174</v>
      </c>
      <c r="J10" s="114">
        <v>30000</v>
      </c>
      <c r="K10" s="114">
        <v>30000</v>
      </c>
      <c r="L10" s="114">
        <v>8273</v>
      </c>
      <c r="M10" s="114">
        <v>8273</v>
      </c>
      <c r="N10" s="114">
        <v>38273</v>
      </c>
      <c r="O10" s="114">
        <v>468448</v>
      </c>
      <c r="P10" s="106">
        <v>2027</v>
      </c>
    </row>
    <row r="11" spans="1:16" x14ac:dyDescent="0.25">
      <c r="A11" s="113"/>
      <c r="B11" s="114"/>
      <c r="C11" s="114"/>
      <c r="D11" s="114"/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89"/>
    </row>
    <row r="12" spans="1:16" x14ac:dyDescent="0.25">
      <c r="G12" s="116"/>
    </row>
    <row r="13" spans="1:16" x14ac:dyDescent="0.25">
      <c r="G13" s="116"/>
    </row>
    <row r="14" spans="1:16" x14ac:dyDescent="0.25">
      <c r="G14" s="116"/>
    </row>
    <row r="15" spans="1:16" x14ac:dyDescent="0.25">
      <c r="G15" s="116"/>
    </row>
    <row r="16" spans="1:16" x14ac:dyDescent="0.25">
      <c r="G16" s="116"/>
    </row>
    <row r="17" spans="1:9" x14ac:dyDescent="0.25">
      <c r="G17" s="116"/>
    </row>
    <row r="18" spans="1:9" x14ac:dyDescent="0.25">
      <c r="G18" s="116"/>
    </row>
    <row r="21" spans="1:9" x14ac:dyDescent="0.25">
      <c r="A21" s="94"/>
      <c r="B21" s="94"/>
      <c r="C21" s="94"/>
      <c r="D21" s="94"/>
      <c r="E21" s="94"/>
      <c r="F21" s="111"/>
      <c r="G21" s="111"/>
      <c r="H21" s="111"/>
      <c r="I21" s="111"/>
    </row>
    <row r="22" spans="1:9" x14ac:dyDescent="0.25">
      <c r="A22" s="95"/>
      <c r="B22" s="95"/>
      <c r="C22" s="95"/>
      <c r="D22" s="95"/>
      <c r="E22" s="95"/>
      <c r="F22" s="111"/>
      <c r="G22" s="111"/>
      <c r="H22" s="111"/>
      <c r="I22" s="111"/>
    </row>
    <row r="23" spans="1:9" x14ac:dyDescent="0.25">
      <c r="A23" s="95"/>
      <c r="B23" s="95"/>
      <c r="C23" s="95"/>
      <c r="D23" s="95"/>
      <c r="E23" s="95"/>
      <c r="F23" s="112"/>
      <c r="G23" s="112"/>
      <c r="H23" s="112"/>
      <c r="I23" s="112"/>
    </row>
    <row r="24" spans="1:9" x14ac:dyDescent="0.25">
      <c r="A24" s="96"/>
      <c r="B24" s="96"/>
      <c r="C24" s="96"/>
      <c r="D24" s="96"/>
      <c r="E24" s="96"/>
      <c r="F24" s="98"/>
      <c r="G24" s="98"/>
      <c r="H24" s="98"/>
      <c r="I24" s="98"/>
    </row>
    <row r="25" spans="1:9" x14ac:dyDescent="0.25">
      <c r="A25" s="94"/>
      <c r="B25" s="94"/>
      <c r="C25" s="94"/>
      <c r="D25" s="94"/>
      <c r="E25" s="94"/>
      <c r="F25" s="111"/>
      <c r="G25" s="111"/>
      <c r="H25" s="111"/>
      <c r="I25" s="111"/>
    </row>
    <row r="26" spans="1:9" x14ac:dyDescent="0.25">
      <c r="A26" s="95"/>
      <c r="B26" s="95"/>
      <c r="C26" s="95"/>
      <c r="D26" s="95"/>
      <c r="E26" s="95"/>
      <c r="F26" s="111"/>
      <c r="G26" s="111"/>
      <c r="H26" s="111"/>
      <c r="I26" s="111"/>
    </row>
    <row r="27" spans="1:9" x14ac:dyDescent="0.25">
      <c r="A27" s="96"/>
      <c r="B27" s="96"/>
      <c r="C27" s="96"/>
      <c r="D27" s="96"/>
      <c r="E27" s="96"/>
      <c r="F27" s="98"/>
      <c r="G27" s="98"/>
      <c r="H27" s="98"/>
      <c r="I27" s="98"/>
    </row>
    <row r="28" spans="1:9" x14ac:dyDescent="0.25">
      <c r="A28" s="94"/>
      <c r="B28" s="94"/>
      <c r="C28" s="94"/>
      <c r="D28" s="94"/>
      <c r="E28" s="94"/>
      <c r="F28" s="111"/>
      <c r="G28" s="111"/>
      <c r="H28" s="111"/>
      <c r="I28" s="111"/>
    </row>
    <row r="29" spans="1:9" x14ac:dyDescent="0.25">
      <c r="A29" s="94"/>
      <c r="B29" s="94"/>
      <c r="C29" s="94"/>
      <c r="D29" s="94"/>
      <c r="E29" s="94"/>
      <c r="F29" s="117"/>
      <c r="G29" s="117"/>
      <c r="H29" s="117"/>
      <c r="I29" s="117"/>
    </row>
    <row r="30" spans="1:9" x14ac:dyDescent="0.25">
      <c r="A30" s="100"/>
      <c r="B30" s="100"/>
      <c r="C30" s="100"/>
      <c r="D30" s="100"/>
      <c r="E30" s="100"/>
      <c r="F30" s="118"/>
      <c r="G30" s="118"/>
      <c r="H30" s="118"/>
      <c r="I30" s="118"/>
    </row>
    <row r="31" spans="1:9" x14ac:dyDescent="0.25">
      <c r="A31" s="95"/>
      <c r="B31" s="95"/>
      <c r="C31" s="95"/>
      <c r="D31" s="95"/>
      <c r="E31" s="95"/>
      <c r="F31" s="112"/>
      <c r="G31" s="112"/>
      <c r="H31" s="112"/>
      <c r="I31" s="112"/>
    </row>
    <row r="32" spans="1:9" x14ac:dyDescent="0.25">
      <c r="A32" s="110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2F394-D60C-4BF6-BDBB-1FE8B8180EB0}">
  <dimension ref="A1:S18"/>
  <sheetViews>
    <sheetView workbookViewId="0">
      <selection activeCell="B9" sqref="B9"/>
    </sheetView>
  </sheetViews>
  <sheetFormatPr defaultRowHeight="15" x14ac:dyDescent="0.25"/>
  <cols>
    <col min="1" max="1" width="16" style="98" customWidth="1"/>
    <col min="2" max="2" width="18.28515625" style="98" customWidth="1"/>
    <col min="3" max="3" width="22.42578125" style="98" customWidth="1"/>
    <col min="4" max="4" width="37.7109375" style="98" bestFit="1" customWidth="1"/>
    <col min="5" max="5" width="42.140625" style="98" bestFit="1" customWidth="1"/>
    <col min="6" max="6" width="11" style="98" customWidth="1"/>
    <col min="7" max="7" width="20" style="98" customWidth="1"/>
    <col min="8" max="8" width="17.7109375" style="98" customWidth="1"/>
    <col min="9" max="9" width="35.5703125" style="98" bestFit="1" customWidth="1"/>
    <col min="10" max="10" width="11" style="98" customWidth="1"/>
    <col min="11" max="12" width="20.28515625" customWidth="1"/>
    <col min="13" max="13" width="19" customWidth="1"/>
    <col min="14" max="14" width="52.42578125" bestFit="1" customWidth="1"/>
    <col min="15" max="15" width="11" customWidth="1"/>
    <col min="16" max="16" width="36.85546875" bestFit="1" customWidth="1"/>
    <col min="17" max="17" width="32.28515625" bestFit="1" customWidth="1"/>
    <col min="18" max="18" width="32" bestFit="1" customWidth="1"/>
    <col min="19" max="19" width="9.28515625" bestFit="1" customWidth="1"/>
    <col min="22" max="22" width="9.7109375" bestFit="1" customWidth="1"/>
    <col min="23" max="23" width="9.28515625" bestFit="1" customWidth="1"/>
    <col min="24" max="24" width="9.7109375" bestFit="1" customWidth="1"/>
    <col min="26" max="28" width="9.28515625" bestFit="1" customWidth="1"/>
  </cols>
  <sheetData>
    <row r="1" spans="1:19" ht="23.25" customHeight="1" x14ac:dyDescent="0.25">
      <c r="A1" s="107" t="s">
        <v>14</v>
      </c>
      <c r="B1" s="107" t="s">
        <v>37</v>
      </c>
      <c r="C1" s="107" t="s">
        <v>10</v>
      </c>
      <c r="D1" s="107" t="s">
        <v>38</v>
      </c>
      <c r="E1" s="107" t="s">
        <v>39</v>
      </c>
      <c r="F1" s="107" t="s">
        <v>79</v>
      </c>
      <c r="G1" s="107" t="s">
        <v>40</v>
      </c>
      <c r="H1" s="107" t="s">
        <v>41</v>
      </c>
      <c r="I1" s="107" t="s">
        <v>42</v>
      </c>
      <c r="J1" s="107" t="s">
        <v>83</v>
      </c>
      <c r="K1" s="107" t="s">
        <v>43</v>
      </c>
      <c r="L1" s="107" t="s">
        <v>44</v>
      </c>
      <c r="M1" s="107" t="s">
        <v>45</v>
      </c>
      <c r="N1" s="107" t="s">
        <v>46</v>
      </c>
      <c r="O1" s="107" t="s">
        <v>84</v>
      </c>
      <c r="P1" s="107" t="s">
        <v>47</v>
      </c>
      <c r="Q1" s="107" t="s">
        <v>48</v>
      </c>
      <c r="R1" s="107" t="s">
        <v>49</v>
      </c>
      <c r="S1" s="122" t="s">
        <v>78</v>
      </c>
    </row>
    <row r="2" spans="1:19" x14ac:dyDescent="0.25">
      <c r="A2" s="115">
        <v>2474</v>
      </c>
      <c r="B2" s="101"/>
      <c r="C2" s="115">
        <v>19500</v>
      </c>
      <c r="D2" s="115">
        <v>-9003</v>
      </c>
      <c r="E2" s="115">
        <v>12971</v>
      </c>
      <c r="F2" s="101"/>
      <c r="G2" s="101"/>
      <c r="H2" s="115">
        <v>-15000</v>
      </c>
      <c r="I2" s="115">
        <v>-15000</v>
      </c>
      <c r="J2" s="101"/>
      <c r="K2" s="101"/>
      <c r="L2" s="101" t="s">
        <v>81</v>
      </c>
      <c r="M2" s="115">
        <v>170000</v>
      </c>
      <c r="N2" s="115">
        <v>170000</v>
      </c>
      <c r="O2" s="101"/>
      <c r="P2" s="115">
        <v>167971</v>
      </c>
      <c r="Q2" s="101" t="s">
        <v>81</v>
      </c>
      <c r="R2" s="115">
        <v>167971</v>
      </c>
      <c r="S2" s="121">
        <v>2019</v>
      </c>
    </row>
    <row r="3" spans="1:19" x14ac:dyDescent="0.25">
      <c r="A3" s="115">
        <v>11791</v>
      </c>
      <c r="B3" s="101"/>
      <c r="C3" s="115">
        <v>18150</v>
      </c>
      <c r="D3" s="115">
        <v>-1702</v>
      </c>
      <c r="E3" s="115">
        <v>28239</v>
      </c>
      <c r="F3" s="101"/>
      <c r="G3" s="101"/>
      <c r="H3" s="115">
        <v>-15000</v>
      </c>
      <c r="I3" s="115">
        <v>-15000</v>
      </c>
      <c r="J3" s="101"/>
      <c r="K3" s="101"/>
      <c r="L3" s="101" t="s">
        <v>81</v>
      </c>
      <c r="M3" s="101" t="s">
        <v>81</v>
      </c>
      <c r="N3" s="101" t="s">
        <v>81</v>
      </c>
      <c r="O3" s="101"/>
      <c r="P3" s="115">
        <v>13239</v>
      </c>
      <c r="Q3" s="115">
        <v>167971</v>
      </c>
      <c r="R3" s="115">
        <v>181210</v>
      </c>
      <c r="S3" s="86">
        <v>2020</v>
      </c>
    </row>
    <row r="4" spans="1:19" x14ac:dyDescent="0.25">
      <c r="A4" s="115">
        <v>21075</v>
      </c>
      <c r="B4" s="101"/>
      <c r="C4" s="115">
        <v>17205</v>
      </c>
      <c r="D4" s="101">
        <v>-775</v>
      </c>
      <c r="E4" s="115">
        <v>37505</v>
      </c>
      <c r="F4" s="101"/>
      <c r="G4" s="101"/>
      <c r="H4" s="115">
        <v>-15000</v>
      </c>
      <c r="I4" s="115">
        <v>-15000</v>
      </c>
      <c r="J4" s="101"/>
      <c r="K4" s="101"/>
      <c r="L4" s="115">
        <v>-20000</v>
      </c>
      <c r="M4" s="101" t="s">
        <v>81</v>
      </c>
      <c r="N4" s="115">
        <v>-20000</v>
      </c>
      <c r="O4" s="101"/>
      <c r="P4" s="115">
        <v>2505</v>
      </c>
      <c r="Q4" s="115">
        <v>181210</v>
      </c>
      <c r="R4" s="115">
        <v>183715</v>
      </c>
      <c r="S4" s="85">
        <v>2021</v>
      </c>
    </row>
    <row r="5" spans="1:19" x14ac:dyDescent="0.25">
      <c r="A5" s="115">
        <v>26713</v>
      </c>
      <c r="B5" s="101"/>
      <c r="C5" s="115">
        <v>16544</v>
      </c>
      <c r="D5" s="101">
        <v>-903</v>
      </c>
      <c r="E5" s="115">
        <v>42354</v>
      </c>
      <c r="F5" s="101"/>
      <c r="G5" s="101"/>
      <c r="H5" s="115">
        <v>-15000</v>
      </c>
      <c r="I5" s="115">
        <v>-15000</v>
      </c>
      <c r="J5" s="101"/>
      <c r="K5" s="101"/>
      <c r="L5" s="101" t="s">
        <v>81</v>
      </c>
      <c r="M5" s="101" t="s">
        <v>81</v>
      </c>
      <c r="N5" s="101" t="s">
        <v>81</v>
      </c>
      <c r="O5" s="101"/>
      <c r="P5" s="115">
        <v>27354</v>
      </c>
      <c r="Q5" s="115">
        <v>183715</v>
      </c>
      <c r="R5" s="115">
        <v>211069</v>
      </c>
      <c r="S5" s="86">
        <v>2022</v>
      </c>
    </row>
    <row r="6" spans="1:19" x14ac:dyDescent="0.25">
      <c r="A6" s="115">
        <v>28227</v>
      </c>
      <c r="B6" s="101"/>
      <c r="C6" s="115">
        <v>16080</v>
      </c>
      <c r="D6" s="101">
        <v>-827</v>
      </c>
      <c r="E6" s="115">
        <v>43480</v>
      </c>
      <c r="F6" s="101"/>
      <c r="G6" s="101"/>
      <c r="H6" s="115">
        <v>-15000</v>
      </c>
      <c r="I6" s="115">
        <v>-15000</v>
      </c>
      <c r="J6" s="101"/>
      <c r="K6" s="101"/>
      <c r="L6" s="101" t="s">
        <v>81</v>
      </c>
      <c r="M6" s="101" t="s">
        <v>81</v>
      </c>
      <c r="N6" s="101" t="s">
        <v>81</v>
      </c>
      <c r="O6" s="101"/>
      <c r="P6" s="115">
        <v>28480</v>
      </c>
      <c r="Q6" s="115">
        <v>211069</v>
      </c>
      <c r="R6" s="115">
        <v>239550</v>
      </c>
      <c r="S6" s="85">
        <v>2023</v>
      </c>
    </row>
    <row r="7" spans="1:19" x14ac:dyDescent="0.25">
      <c r="A7" s="114">
        <v>36520</v>
      </c>
      <c r="B7" s="116"/>
      <c r="C7" s="114">
        <v>16585</v>
      </c>
      <c r="D7" s="114">
        <v>-1185</v>
      </c>
      <c r="E7" s="114">
        <v>51920</v>
      </c>
      <c r="F7" s="116"/>
      <c r="G7" s="116"/>
      <c r="H7" s="114">
        <v>-20526</v>
      </c>
      <c r="I7" s="114">
        <v>-20526</v>
      </c>
      <c r="J7" s="116"/>
      <c r="K7" s="116"/>
      <c r="L7" s="101" t="s">
        <v>82</v>
      </c>
      <c r="M7" s="101" t="s">
        <v>82</v>
      </c>
      <c r="N7" s="101" t="s">
        <v>82</v>
      </c>
      <c r="O7" s="116"/>
      <c r="P7" s="114">
        <v>31394</v>
      </c>
      <c r="Q7" s="114">
        <v>239550</v>
      </c>
      <c r="R7" s="114">
        <v>270944</v>
      </c>
      <c r="S7" s="86">
        <v>2024</v>
      </c>
    </row>
    <row r="8" spans="1:19" x14ac:dyDescent="0.25">
      <c r="A8" s="114">
        <v>40235</v>
      </c>
      <c r="B8" s="116"/>
      <c r="C8" s="114">
        <v>18243</v>
      </c>
      <c r="D8" s="114">
        <v>-1439</v>
      </c>
      <c r="E8" s="114">
        <v>57039</v>
      </c>
      <c r="F8" s="116"/>
      <c r="G8" s="116"/>
      <c r="H8" s="114">
        <v>-22390</v>
      </c>
      <c r="I8" s="114">
        <v>-22390</v>
      </c>
      <c r="J8" s="116"/>
      <c r="K8" s="116"/>
      <c r="L8" s="101" t="s">
        <v>81</v>
      </c>
      <c r="M8" s="101" t="s">
        <v>81</v>
      </c>
      <c r="N8" s="101" t="s">
        <v>81</v>
      </c>
      <c r="O8" s="116"/>
      <c r="P8" s="114">
        <v>34650</v>
      </c>
      <c r="Q8" s="114">
        <v>270944</v>
      </c>
      <c r="R8" s="114">
        <v>305593</v>
      </c>
      <c r="S8" s="85">
        <v>2025</v>
      </c>
    </row>
    <row r="9" spans="1:19" x14ac:dyDescent="0.25">
      <c r="A9" s="114">
        <v>44322</v>
      </c>
      <c r="B9" s="116"/>
      <c r="C9" s="114">
        <v>20068</v>
      </c>
      <c r="D9" s="114">
        <v>-1583</v>
      </c>
      <c r="E9" s="114">
        <v>62806</v>
      </c>
      <c r="F9" s="116"/>
      <c r="G9" s="116"/>
      <c r="H9" s="114">
        <v>-24629</v>
      </c>
      <c r="I9" s="114">
        <v>-24629</v>
      </c>
      <c r="J9" s="116"/>
      <c r="K9" s="116"/>
      <c r="L9" s="101" t="s">
        <v>82</v>
      </c>
      <c r="M9" s="101" t="s">
        <v>82</v>
      </c>
      <c r="N9" s="101" t="s">
        <v>82</v>
      </c>
      <c r="O9" s="116"/>
      <c r="P9" s="114">
        <v>38177</v>
      </c>
      <c r="Q9" s="114">
        <v>305593</v>
      </c>
      <c r="R9" s="114">
        <v>343771</v>
      </c>
      <c r="S9" s="86">
        <v>2026</v>
      </c>
    </row>
    <row r="10" spans="1:19" x14ac:dyDescent="0.25">
      <c r="A10" s="114">
        <v>48817</v>
      </c>
      <c r="B10" s="116"/>
      <c r="C10" s="114">
        <v>22075</v>
      </c>
      <c r="D10" s="114">
        <v>-1742</v>
      </c>
      <c r="E10" s="114">
        <v>69150</v>
      </c>
      <c r="F10" s="116"/>
      <c r="G10" s="116"/>
      <c r="H10" s="114">
        <v>-27091</v>
      </c>
      <c r="I10" s="114">
        <v>-27091</v>
      </c>
      <c r="J10" s="116"/>
      <c r="K10" s="116"/>
      <c r="L10" s="101" t="s">
        <v>82</v>
      </c>
      <c r="M10" s="101" t="s">
        <v>82</v>
      </c>
      <c r="N10" s="101" t="s">
        <v>82</v>
      </c>
      <c r="O10" s="116"/>
      <c r="P10" s="114">
        <v>42058</v>
      </c>
      <c r="Q10" s="114">
        <v>343771</v>
      </c>
      <c r="R10" s="114">
        <v>385829</v>
      </c>
      <c r="S10" s="85">
        <v>2027</v>
      </c>
    </row>
    <row r="11" spans="1:19" x14ac:dyDescent="0.25">
      <c r="A11" s="114"/>
      <c r="B11" s="116"/>
      <c r="C11" s="114"/>
      <c r="D11" s="114"/>
      <c r="E11" s="114"/>
      <c r="F11" s="116"/>
      <c r="G11" s="116"/>
      <c r="H11" s="114"/>
      <c r="I11" s="114"/>
      <c r="J11" s="116"/>
      <c r="K11" s="116"/>
      <c r="L11" s="101"/>
      <c r="M11" s="101"/>
      <c r="N11" s="101"/>
      <c r="O11" s="116"/>
      <c r="P11" s="114"/>
      <c r="Q11" s="114"/>
      <c r="R11" s="114"/>
    </row>
    <row r="12" spans="1:19" x14ac:dyDescent="0.25">
      <c r="A12" s="97"/>
      <c r="B12" s="97"/>
      <c r="C12" s="94"/>
      <c r="D12" s="97"/>
      <c r="E12" s="97"/>
      <c r="F12" s="97"/>
      <c r="G12" s="97"/>
      <c r="H12" s="97"/>
      <c r="I12" s="97"/>
      <c r="J12" s="97"/>
    </row>
    <row r="13" spans="1:19" x14ac:dyDescent="0.25">
      <c r="A13" s="94"/>
      <c r="B13" s="97"/>
      <c r="C13" s="97"/>
      <c r="D13" s="97"/>
      <c r="E13" s="97"/>
      <c r="F13" s="97"/>
      <c r="G13" s="97"/>
      <c r="H13" s="97"/>
      <c r="I13" s="97"/>
      <c r="J13" s="97"/>
    </row>
    <row r="14" spans="1:19" x14ac:dyDescent="0.25">
      <c r="A14" s="95"/>
      <c r="B14" s="120"/>
      <c r="C14" s="95"/>
      <c r="D14" s="120"/>
      <c r="E14" s="120"/>
      <c r="F14" s="120"/>
      <c r="G14" s="120"/>
      <c r="H14" s="120"/>
      <c r="I14" s="120"/>
      <c r="J14" s="120"/>
    </row>
    <row r="15" spans="1:19" x14ac:dyDescent="0.25">
      <c r="A15" s="96"/>
      <c r="B15" s="96"/>
      <c r="C15" s="96"/>
      <c r="D15" s="96"/>
      <c r="E15" s="96"/>
    </row>
    <row r="16" spans="1:19" x14ac:dyDescent="0.25">
      <c r="A16" s="95"/>
      <c r="B16" s="95"/>
      <c r="C16" s="95"/>
      <c r="D16" s="95"/>
      <c r="E16" s="95"/>
      <c r="F16" s="112"/>
      <c r="G16" s="112"/>
      <c r="H16" s="112"/>
      <c r="I16" s="112"/>
      <c r="J16" s="112"/>
    </row>
    <row r="17" spans="1:10" x14ac:dyDescent="0.25">
      <c r="A17" s="97"/>
      <c r="B17" s="94"/>
      <c r="C17" s="94"/>
      <c r="D17" s="94"/>
      <c r="E17" s="94"/>
      <c r="F17" s="111"/>
      <c r="G17" s="111"/>
      <c r="H17" s="111"/>
      <c r="I17" s="111"/>
      <c r="J17" s="111"/>
    </row>
    <row r="18" spans="1:10" x14ac:dyDescent="0.25">
      <c r="A18" s="95"/>
      <c r="B18" s="95"/>
      <c r="C18" s="95"/>
      <c r="D18" s="95"/>
      <c r="E18" s="95"/>
      <c r="F18" s="112"/>
      <c r="G18" s="112"/>
      <c r="H18" s="112"/>
      <c r="I18" s="112"/>
      <c r="J18" s="11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3 Step Financial Statement</vt:lpstr>
      <vt:lpstr>Proft and Loss Ratios</vt:lpstr>
      <vt:lpstr>Financial Position Ratios</vt:lpstr>
      <vt:lpstr>Statement of Profit and Loss</vt:lpstr>
      <vt:lpstr>Statement of Financial Position</vt:lpstr>
      <vt:lpstr>Statement of Cash Flows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Awais</dc:creator>
  <cp:lastModifiedBy>Awais Ali</cp:lastModifiedBy>
  <dcterms:created xsi:type="dcterms:W3CDTF">2025-03-06T06:54:18Z</dcterms:created>
  <dcterms:modified xsi:type="dcterms:W3CDTF">2026-04-23T07:48:56Z</dcterms:modified>
</cp:coreProperties>
</file>